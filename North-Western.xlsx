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ata4group-my.sharepoint.com/personal/hadi_chamas_data4group_com/Documents/Desktop/Thèse doctorale/Research Papers/Modeling Contribution/Optimization &amp; Sensitivity Analysis/VS Code/"/>
    </mc:Choice>
  </mc:AlternateContent>
  <xr:revisionPtr revIDLastSave="5584" documentId="11_F94205072CC02C5C510B778CA341A758FAD3749B" xr6:coauthVersionLast="47" xr6:coauthVersionMax="47" xr10:uidLastSave="{E711199F-CEF4-A24D-9A08-AB067E89D55B}"/>
  <bookViews>
    <workbookView xWindow="14680" yWindow="680" windowWidth="14720" windowHeight="16840" firstSheet="1" activeTab="2" xr2:uid="{00000000-000D-0000-FFFF-FFFF00000000}"/>
  </bookViews>
  <sheets>
    <sheet name="Risk Weights" sheetId="2" r:id="rId1"/>
    <sheet name="Topic Effectiveness" sheetId="3" r:id="rId2"/>
    <sheet name="Interdependency" sheetId="4" r:id="rId3"/>
    <sheet name="Global Scor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2" i="5"/>
  <c r="K19" i="4"/>
  <c r="K20" i="4"/>
  <c r="K21" i="4"/>
  <c r="K22" i="4"/>
  <c r="K23" i="4"/>
  <c r="K24" i="4"/>
  <c r="K25" i="4"/>
  <c r="K26" i="4"/>
  <c r="J19" i="4"/>
  <c r="J20" i="4"/>
  <c r="J21" i="4"/>
  <c r="J22" i="4"/>
  <c r="J23" i="4"/>
  <c r="J24" i="4"/>
  <c r="J25" i="4"/>
  <c r="J27" i="4"/>
  <c r="I19" i="4"/>
  <c r="I20" i="4"/>
  <c r="I21" i="4"/>
  <c r="I22" i="4"/>
  <c r="I23" i="4"/>
  <c r="I24" i="4"/>
  <c r="I26" i="4"/>
  <c r="I27" i="4"/>
  <c r="H19" i="4"/>
  <c r="H20" i="4"/>
  <c r="H21" i="4"/>
  <c r="H22" i="4"/>
  <c r="H23" i="4"/>
  <c r="H25" i="4"/>
  <c r="H26" i="4"/>
  <c r="H27" i="4"/>
  <c r="G19" i="4"/>
  <c r="G20" i="4"/>
  <c r="G21" i="4"/>
  <c r="G22" i="4"/>
  <c r="G24" i="4"/>
  <c r="G25" i="4"/>
  <c r="G26" i="4"/>
  <c r="G27" i="4"/>
  <c r="F19" i="4"/>
  <c r="F20" i="4"/>
  <c r="F21" i="4"/>
  <c r="F23" i="4"/>
  <c r="F24" i="4"/>
  <c r="F25" i="4"/>
  <c r="F26" i="4"/>
  <c r="F27" i="4"/>
  <c r="E19" i="4"/>
  <c r="E20" i="4"/>
  <c r="E22" i="4"/>
  <c r="E23" i="4"/>
  <c r="E24" i="4"/>
  <c r="E25" i="4"/>
  <c r="E26" i="4"/>
  <c r="E27" i="4"/>
  <c r="D19" i="4"/>
  <c r="D21" i="4"/>
  <c r="D22" i="4"/>
  <c r="D23" i="4"/>
  <c r="D24" i="4"/>
  <c r="D25" i="4"/>
  <c r="D26" i="4"/>
  <c r="D27" i="4"/>
  <c r="C27" i="4"/>
  <c r="C20" i="4"/>
  <c r="C21" i="4"/>
  <c r="C22" i="4"/>
  <c r="C23" i="4"/>
  <c r="C24" i="4"/>
  <c r="C25" i="4"/>
  <c r="C26" i="4"/>
  <c r="B19" i="4"/>
  <c r="B20" i="4"/>
  <c r="B21" i="4"/>
  <c r="B22" i="4"/>
  <c r="B23" i="4"/>
  <c r="B24" i="4"/>
  <c r="B25" i="4"/>
  <c r="B26" i="4"/>
  <c r="B27" i="4"/>
  <c r="C18" i="4"/>
  <c r="D18" i="4"/>
  <c r="E18" i="4"/>
  <c r="F18" i="4"/>
  <c r="G18" i="4"/>
  <c r="H18" i="4"/>
  <c r="I18" i="4"/>
  <c r="J18" i="4"/>
  <c r="K18" i="4"/>
  <c r="N3" i="3"/>
  <c r="Q18" i="4" s="1"/>
  <c r="N12" i="3" l="1"/>
  <c r="Q27" i="4" s="1"/>
  <c r="M12" i="3"/>
  <c r="P27" i="4" s="1"/>
  <c r="L12" i="3"/>
  <c r="O27" i="4" s="1"/>
  <c r="K12" i="3"/>
  <c r="N27" i="4" s="1"/>
  <c r="N11" i="3"/>
  <c r="Q26" i="4" s="1"/>
  <c r="M11" i="3"/>
  <c r="P26" i="4" s="1"/>
  <c r="L11" i="3"/>
  <c r="O26" i="4" s="1"/>
  <c r="K11" i="3"/>
  <c r="N26" i="4" s="1"/>
  <c r="N10" i="3"/>
  <c r="Q25" i="4" s="1"/>
  <c r="M10" i="3"/>
  <c r="P25" i="4" s="1"/>
  <c r="L10" i="3"/>
  <c r="O25" i="4" s="1"/>
  <c r="K10" i="3"/>
  <c r="N25" i="4" s="1"/>
  <c r="N9" i="3"/>
  <c r="Q24" i="4" s="1"/>
  <c r="M9" i="3"/>
  <c r="P24" i="4" s="1"/>
  <c r="L9" i="3"/>
  <c r="O24" i="4" s="1"/>
  <c r="K9" i="3"/>
  <c r="N24" i="4" s="1"/>
  <c r="N8" i="3"/>
  <c r="Q23" i="4" s="1"/>
  <c r="M8" i="3"/>
  <c r="P23" i="4" s="1"/>
  <c r="L8" i="3"/>
  <c r="O23" i="4" s="1"/>
  <c r="K8" i="3"/>
  <c r="N23" i="4" s="1"/>
  <c r="N7" i="3"/>
  <c r="Q22" i="4" s="1"/>
  <c r="M7" i="3"/>
  <c r="P22" i="4" s="1"/>
  <c r="L7" i="3"/>
  <c r="O22" i="4" s="1"/>
  <c r="K7" i="3"/>
  <c r="N22" i="4" s="1"/>
  <c r="N6" i="3"/>
  <c r="Q21" i="4" s="1"/>
  <c r="M6" i="3"/>
  <c r="P21" i="4" s="1"/>
  <c r="L6" i="3"/>
  <c r="O21" i="4" s="1"/>
  <c r="K6" i="3"/>
  <c r="N21" i="4" s="1"/>
  <c r="N5" i="3"/>
  <c r="Q20" i="4" s="1"/>
  <c r="M5" i="3"/>
  <c r="P20" i="4" s="1"/>
  <c r="L5" i="3"/>
  <c r="O20" i="4" s="1"/>
  <c r="K5" i="3"/>
  <c r="N20" i="4" s="1"/>
  <c r="N4" i="3"/>
  <c r="Q19" i="4" s="1"/>
  <c r="M4" i="3"/>
  <c r="P19" i="4" s="1"/>
  <c r="L4" i="3"/>
  <c r="O19" i="4" s="1"/>
  <c r="K4" i="3"/>
  <c r="N19" i="4" s="1"/>
  <c r="M3" i="3"/>
  <c r="P18" i="4" s="1"/>
  <c r="L3" i="3"/>
  <c r="O18" i="4" s="1"/>
  <c r="K3" i="3"/>
  <c r="N18" i="4" s="1"/>
  <c r="G5" i="2"/>
  <c r="G4" i="2"/>
  <c r="G3" i="2"/>
  <c r="G2" i="2"/>
  <c r="B33" i="4" l="1" a="1"/>
  <c r="B33" i="4" s="1"/>
  <c r="H2" i="2"/>
  <c r="H3" i="2"/>
  <c r="H4" i="2"/>
  <c r="H5" i="2"/>
  <c r="B11" i="5" l="1"/>
  <c r="B9" i="5"/>
  <c r="B8" i="5"/>
  <c r="B6" i="5"/>
  <c r="B5" i="5"/>
  <c r="B4" i="5"/>
  <c r="B3" i="5"/>
  <c r="B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<sst xmlns="http://schemas.openxmlformats.org/spreadsheetml/2006/main" count="621" uniqueCount="412">
  <si>
    <t>Objective</t>
  </si>
  <si>
    <t>Av</t>
  </si>
  <si>
    <t>Phy</t>
  </si>
  <si>
    <t>AM</t>
  </si>
  <si>
    <t>CIA</t>
  </si>
  <si>
    <t>Network Security</t>
  </si>
  <si>
    <t>Identity and Access Management (IAM)</t>
  </si>
  <si>
    <t>Cryptography</t>
  </si>
  <si>
    <t>Security Operations</t>
  </si>
  <si>
    <t>Security Awareness &amp; Training</t>
  </si>
  <si>
    <t>Critical Infrastructure Security</t>
  </si>
  <si>
    <t>Cyber Threat Intelligence</t>
  </si>
  <si>
    <t>Risk analysis</t>
  </si>
  <si>
    <t>Physical Security</t>
  </si>
  <si>
    <t>Supply Chain Security</t>
  </si>
  <si>
    <t>lambda (λ)</t>
  </si>
  <si>
    <t>iota (ι)</t>
  </si>
  <si>
    <t>epsilon (ε)</t>
  </si>
  <si>
    <t>assurance (a)</t>
  </si>
  <si>
    <t>localization (λ_s)</t>
  </si>
  <si>
    <t>Risk mass R</t>
  </si>
  <si>
    <t>Weight w (normalized)</t>
  </si>
  <si>
    <t>Beta</t>
  </si>
  <si>
    <t>Topic</t>
  </si>
  <si>
    <t>r_Av</t>
  </si>
  <si>
    <t>r_Phy</t>
  </si>
  <si>
    <t>r_AM</t>
  </si>
  <si>
    <t>r_CIA</t>
  </si>
  <si>
    <t>v_j</t>
  </si>
  <si>
    <t>u_Av</t>
  </si>
  <si>
    <t>u_Phy</t>
  </si>
  <si>
    <t>u_AM</t>
  </si>
  <si>
    <t>u_CIA</t>
  </si>
  <si>
    <t>eta_Av</t>
  </si>
  <si>
    <t>eta_Phy</t>
  </si>
  <si>
    <t>eta_AM</t>
  </si>
  <si>
    <t>eta_CIA</t>
  </si>
  <si>
    <t>Alpha</t>
  </si>
  <si>
    <t>Score</t>
  </si>
  <si>
    <t>M=I + alpha*D</t>
  </si>
  <si>
    <t>Eta</t>
  </si>
  <si>
    <t>Eta'</t>
  </si>
  <si>
    <t>How to estimate:</t>
  </si>
  <si>
    <t>rijr_{ij}rij​: Structural Relevance</t>
  </si>
  <si>
    <r>
      <t>What it is:</t>
    </r>
    <r>
      <rPr>
        <sz val="7"/>
        <color theme="1"/>
        <rFont val="Segoe UI"/>
        <family val="2"/>
      </rPr>
      <t xml:space="preserve"> How strongly topic tjt_jtj​ is conceptually aligned with objective oio_ioi​.</t>
    </r>
  </si>
  <si>
    <t>Example: Identity &amp; Access Management (IAM) is highly relevant to “Auditability” (AM), so rAM,IAMr_{AM,IAM}rAM,IAM​ ≈ 0.9.</t>
  </si>
  <si>
    <r>
      <t xml:space="preserve">Use </t>
    </r>
    <r>
      <rPr>
        <b/>
        <sz val="7"/>
        <color theme="1"/>
        <rFont val="Segoe UI"/>
        <family val="2"/>
      </rPr>
      <t>mapping tables</t>
    </r>
    <r>
      <rPr>
        <sz val="7"/>
        <color theme="1"/>
        <rFont val="Segoe UI"/>
        <family val="2"/>
      </rPr>
      <t xml:space="preserve"> (e.g., NIST CSF subcategories → objectives).</t>
    </r>
  </si>
  <si>
    <t>Expert judgment or scoring (0–1 scale).</t>
  </si>
  <si>
    <t>Possible automation: text similarity between control descriptions and objective definitions.</t>
  </si>
  <si>
    <t>vjv_jvj​: Vulnerability Pressure</t>
  </si>
  <si>
    <r>
      <t>What it is:</t>
    </r>
    <r>
      <rPr>
        <sz val="7"/>
        <color theme="1"/>
        <rFont val="Segoe UI"/>
        <family val="2"/>
      </rPr>
      <t xml:space="preserve"> How urgent the topic is based on current threat exposure.</t>
    </r>
  </si>
  <si>
    <t>Example: If recent scans show many network vulnerabilities, vNetwork Securityv_{\text{Network Security}}vNetwork Security​ ≈ 0.8.</t>
  </si>
  <si>
    <t>Vulnerability metrics (CVSS scores, number of open findings).</t>
  </si>
  <si>
    <t>Threat intelligence (frequency of exploits in the wild).</t>
  </si>
  <si>
    <r>
      <t xml:space="preserve">Normalize to [0,1]: e.g., </t>
    </r>
    <r>
      <rPr>
        <sz val="7"/>
        <color rgb="FFCC0000"/>
        <rFont val="Segoe UI"/>
        <family val="2"/>
      </rPr>
      <t>v_j = \frac{\text{#critical findings}}{\text{max observed}}</t>
    </r>
    <r>
      <rPr>
        <sz val="7"/>
        <color theme="1"/>
        <rFont val="Segoe UI"/>
        <family val="2"/>
      </rPr>
      <t>.</t>
    </r>
  </si>
  <si>
    <t>uiju_{ij}uij​: Utility of Mitigation</t>
  </si>
  <si>
    <r>
      <t>What it is:</t>
    </r>
    <r>
      <rPr>
        <sz val="7"/>
        <color theme="1"/>
        <rFont val="Segoe UI"/>
        <family val="2"/>
      </rPr>
      <t xml:space="preserve"> How much reducing vulnerabilities in topic tjt_jtj​ benefits objective oio_ioi​.</t>
    </r>
  </si>
  <si>
    <t>Example: Patching network flaws improves “Availability” more than “Confidentiality”.</t>
  </si>
  <si>
    <t>Expert judgment: assign higher utility where mitigation directly impacts the objective.</t>
  </si>
  <si>
    <t>Data-driven: historical incident impact mapping (e.g., outages vs. network flaws).</t>
  </si>
  <si>
    <t>Normalize to [0,1].</t>
  </si>
  <si>
    <t>What does β represent?</t>
  </si>
  <si>
    <r>
      <t xml:space="preserve">It controls the </t>
    </r>
    <r>
      <rPr>
        <b/>
        <sz val="7"/>
        <color theme="1"/>
        <rFont val="Segoe UI"/>
        <family val="2"/>
      </rPr>
      <t>relative importance</t>
    </r>
    <r>
      <rPr>
        <sz val="7"/>
        <color theme="1"/>
        <rFont val="Segoe UI"/>
        <family val="2"/>
      </rPr>
      <t xml:space="preserve"> of:</t>
    </r>
  </si>
  <si>
    <r>
      <t>Structural relevance</t>
    </r>
    <r>
      <rPr>
        <sz val="7"/>
        <color theme="1"/>
        <rFont val="Segoe UI"/>
        <family val="2"/>
      </rPr>
      <t xml:space="preserve"> (rijr_{ij}rij​): how well the topic aligns with the objective conceptually.</t>
    </r>
  </si>
  <si>
    <r>
      <t>Vulnerability-driven term</t>
    </r>
    <r>
      <rPr>
        <sz val="7"/>
        <color theme="1"/>
        <rFont val="Segoe UI"/>
        <family val="2"/>
      </rPr>
      <t xml:space="preserve"> (vjuijv_j u_{ij}vj​uij​): how urgent and impactful the topic is based on current threat exposure.</t>
    </r>
  </si>
  <si>
    <t>So:</t>
  </si>
  <si>
    <r>
      <t>β close to 1</t>
    </r>
    <r>
      <rPr>
        <sz val="7"/>
        <color theme="1"/>
        <rFont val="Segoe UI"/>
        <family val="2"/>
      </rPr>
      <t xml:space="preserve"> → prioritize </t>
    </r>
    <r>
      <rPr>
        <b/>
        <sz val="7"/>
        <color theme="1"/>
        <rFont val="Segoe UI"/>
        <family val="2"/>
      </rPr>
      <t>policy alignment</t>
    </r>
    <r>
      <rPr>
        <sz val="7"/>
        <color theme="1"/>
        <rFont val="Segoe UI"/>
        <family val="2"/>
      </rPr>
      <t xml:space="preserve"> (static relevance).</t>
    </r>
  </si>
  <si>
    <r>
      <t>β close to 0</t>
    </r>
    <r>
      <rPr>
        <sz val="7"/>
        <color theme="1"/>
        <rFont val="Segoe UI"/>
        <family val="2"/>
      </rPr>
      <t xml:space="preserve"> → prioritize </t>
    </r>
    <r>
      <rPr>
        <b/>
        <sz val="7"/>
        <color theme="1"/>
        <rFont val="Segoe UI"/>
        <family val="2"/>
      </rPr>
      <t>dynamic vulnerability pressure</t>
    </r>
    <r>
      <rPr>
        <sz val="7"/>
        <color theme="1"/>
        <rFont val="Segoe UI"/>
        <family val="2"/>
      </rPr>
      <t>.</t>
    </r>
  </si>
  <si>
    <t>There are three practical approaches:</t>
  </si>
  <si>
    <t>1. Policy-driven choice</t>
  </si>
  <si>
    <r>
      <t xml:space="preserve">If your organization values strategic alignment over short-term threat response, set </t>
    </r>
    <r>
      <rPr>
        <b/>
        <sz val="7"/>
        <color theme="1"/>
        <rFont val="Segoe UI"/>
        <family val="2"/>
      </rPr>
      <t>β high</t>
    </r>
    <r>
      <rPr>
        <sz val="7"/>
        <color theme="1"/>
        <rFont val="Segoe UI"/>
        <family val="2"/>
      </rPr>
      <t xml:space="preserve"> (e.g., 0.7–0.8).</t>
    </r>
  </si>
  <si>
    <r>
      <t xml:space="preserve">If you want a threat-driven prioritization, set </t>
    </r>
    <r>
      <rPr>
        <b/>
        <sz val="7"/>
        <color theme="1"/>
        <rFont val="Segoe UI"/>
        <family val="2"/>
      </rPr>
      <t>β low</t>
    </r>
    <r>
      <rPr>
        <sz val="7"/>
        <color theme="1"/>
        <rFont val="Segoe UI"/>
        <family val="2"/>
      </rPr>
      <t xml:space="preserve"> (e.g., 0.2–0.3).</t>
    </r>
  </si>
  <si>
    <t>2. Data-driven calibration</t>
  </si>
  <si>
    <t>Collect historical data: compare past incidents vs. relevance mapping.</t>
  </si>
  <si>
    <t>Use regression or optimization to find β that best predicts risk reduction outcomes.</t>
  </si>
  <si>
    <t>3. Scenario-based tuning</t>
  </si>
  <si>
    <t>Run sensitivity analysis: vary β from 0 to 1 and observe how rankings change.</t>
  </si>
  <si>
    <t>Choose β that gives a balanced portfolio under your risk appetite.</t>
  </si>
  <si>
    <t>Positive Djk&gt;0D_{jk} &gt; 0Djk​&gt;0</t>
  </si>
  <si>
    <r>
      <t xml:space="preserve">Means </t>
    </r>
    <r>
      <rPr>
        <b/>
        <sz val="7"/>
        <color theme="1"/>
        <rFont val="Segoe UI"/>
        <family val="2"/>
      </rPr>
      <t>synergy</t>
    </r>
    <r>
      <rPr>
        <sz val="7"/>
        <color theme="1"/>
        <rFont val="Segoe UI"/>
        <family val="2"/>
      </rPr>
      <t>: improving topic tkt_ktk​ makes topic tjt_jtj​ more effective.</t>
    </r>
  </si>
  <si>
    <r>
      <t xml:space="preserve">Example: Strengthening </t>
    </r>
    <r>
      <rPr>
        <b/>
        <sz val="7"/>
        <color theme="1"/>
        <rFont val="Segoe UI"/>
        <family val="2"/>
      </rPr>
      <t>Identity &amp; Access Management (IAM)</t>
    </r>
    <r>
      <rPr>
        <sz val="7"/>
        <color theme="1"/>
        <rFont val="Segoe UI"/>
        <family val="2"/>
      </rPr>
      <t xml:space="preserve"> improves </t>
    </r>
    <r>
      <rPr>
        <b/>
        <sz val="7"/>
        <color theme="1"/>
        <rFont val="Segoe UI"/>
        <family val="2"/>
      </rPr>
      <t>Security Operations</t>
    </r>
    <r>
      <rPr>
        <sz val="7"/>
        <color theme="1"/>
        <rFont val="Segoe UI"/>
        <family val="2"/>
      </rPr>
      <t xml:space="preserve"> because better IAM reduces incident complexity.</t>
    </r>
  </si>
  <si>
    <t>So DSecOps, IAM&gt;0D_{\text{SecOps, IAM}} &gt; 0DSecOps, IAM​&gt;0.</t>
  </si>
  <si>
    <t>Negative Djk&lt;0D_{jk} &lt; 0Djk​&lt;0</t>
  </si>
  <si>
    <r>
      <t xml:space="preserve">Means </t>
    </r>
    <r>
      <rPr>
        <b/>
        <sz val="7"/>
        <color theme="1"/>
        <rFont val="Segoe UI"/>
        <family val="2"/>
      </rPr>
      <t>overlap or redundancy</t>
    </r>
    <r>
      <rPr>
        <sz val="7"/>
        <color theme="1"/>
        <rFont val="Segoe UI"/>
        <family val="2"/>
      </rPr>
      <t>: investing in topic tkt_ktk​ reduces the marginal benefit of topic tjt_jtj​.</t>
    </r>
  </si>
  <si>
    <r>
      <t xml:space="preserve">Example: If you heavily invest in </t>
    </r>
    <r>
      <rPr>
        <b/>
        <sz val="7"/>
        <color theme="1"/>
        <rFont val="Segoe UI"/>
        <family val="2"/>
      </rPr>
      <t>Network Security</t>
    </r>
    <r>
      <rPr>
        <sz val="7"/>
        <color theme="1"/>
        <rFont val="Segoe UI"/>
        <family val="2"/>
      </rPr>
      <t xml:space="preserve">, adding more to </t>
    </r>
    <r>
      <rPr>
        <b/>
        <sz val="7"/>
        <color theme="1"/>
        <rFont val="Segoe UI"/>
        <family val="2"/>
      </rPr>
      <t>Critical Infrastructure Security</t>
    </r>
    <r>
      <rPr>
        <sz val="7"/>
        <color theme="1"/>
        <rFont val="Segoe UI"/>
        <family val="2"/>
      </rPr>
      <t xml:space="preserve"> may have diminishing returns because both address similar attack vectors.</t>
    </r>
  </si>
  <si>
    <t>So DInfraSec, NetSec&lt;0D_{\text{InfraSec, NetSec}} &lt; 0DInfraSec, NetSec​&lt;0.</t>
  </si>
  <si>
    <t>Zero Djk=0D_{jk} = 0Djk​=0</t>
  </si>
  <si>
    <r>
      <t xml:space="preserve">Means </t>
    </r>
    <r>
      <rPr>
        <b/>
        <sz val="7"/>
        <color theme="1"/>
        <rFont val="Segoe UI"/>
        <family val="2"/>
      </rPr>
      <t>independence</t>
    </r>
    <r>
      <rPr>
        <sz val="7"/>
        <color theme="1"/>
        <rFont val="Segoe UI"/>
        <family val="2"/>
      </rPr>
      <t>: no significant interaction between topics.</t>
    </r>
  </si>
  <si>
    <r>
      <t xml:space="preserve">α∈[0,1]\alpha \in [0,1]α∈[0,1] is a </t>
    </r>
    <r>
      <rPr>
        <b/>
        <sz val="7"/>
        <color theme="1"/>
        <rFont val="Segoe UI"/>
        <family val="2"/>
      </rPr>
      <t>global scaling factor</t>
    </r>
    <r>
      <rPr>
        <sz val="7"/>
        <color theme="1"/>
        <rFont val="Segoe UI"/>
        <family val="2"/>
      </rPr>
      <t xml:space="preserve"> for dependency effects.</t>
    </r>
  </si>
  <si>
    <r>
      <t>α=0\alpha = 0α=0</t>
    </r>
    <r>
      <rPr>
        <sz val="7"/>
        <color theme="1"/>
        <rFont val="Segoe UI"/>
        <family val="2"/>
      </rPr>
      <t xml:space="preserve"> → ignore dependencies (pure additive model).</t>
    </r>
  </si>
  <si>
    <r>
      <t>α=1\alpha = 1α=1</t>
    </r>
    <r>
      <rPr>
        <sz val="7"/>
        <color theme="1"/>
        <rFont val="Segoe UI"/>
        <family val="2"/>
      </rPr>
      <t xml:space="preserve"> → apply full dependency matrix DDD.</t>
    </r>
  </si>
  <si>
    <r>
      <t xml:space="preserve">Typical choice: </t>
    </r>
    <r>
      <rPr>
        <b/>
        <sz val="7"/>
        <color theme="1"/>
        <rFont val="Segoe UI"/>
        <family val="2"/>
      </rPr>
      <t>0.2–0.5</t>
    </r>
    <r>
      <rPr>
        <sz val="7"/>
        <color theme="1"/>
        <rFont val="Segoe UI"/>
        <family val="2"/>
      </rPr>
      <t xml:space="preserve"> to moderate the influence of synergies/overlaps without overwhelming the base effectiveness.</t>
    </r>
  </si>
  <si>
    <r>
      <t>What it is:</t>
    </r>
    <r>
      <rPr>
        <sz val="7"/>
        <color theme="1"/>
        <rFont val="Segoe UI"/>
        <family val="2"/>
      </rPr>
      <t xml:space="preserve"> Probability that an adverse event occurs for objective oio_ioi​.</t>
    </r>
  </si>
  <si>
    <t>Use historical incident frequency (e.g., number of outages per year).</t>
  </si>
  <si>
    <t>Threat intelligence (attack frequency for similar environments).</t>
  </si>
  <si>
    <t>Normalize to [0,1]:</t>
  </si>
  <si>
    <t>λi=observed frequencymax expected frequency\lambda_i = \frac{\text{observed frequency}}{\text{max expected frequency}}λi​=max expected frequencyobserved frequency​</t>
  </si>
  <si>
    <r>
      <t>What it is:</t>
    </r>
    <r>
      <rPr>
        <sz val="7"/>
        <color theme="1"/>
        <rFont val="Segoe UI"/>
        <family val="2"/>
      </rPr>
      <t xml:space="preserve"> Severity of consequences if the event occurs (financial, operational, regulatory).</t>
    </r>
  </si>
  <si>
    <t>Quantify potential loss (e.g., $ impact or downtime hours).</t>
  </si>
  <si>
    <t>Map to scale [0,1]:</t>
  </si>
  <si>
    <t>ιi=estimated lossworst-case loss\iota_i = \frac{\text{estimated loss}}{\text{worst-case loss}}ιi​=worst-case lossestimated loss​</t>
  </si>
  <si>
    <r>
      <t>What it is:</t>
    </r>
    <r>
      <rPr>
        <sz val="7"/>
        <color theme="1"/>
        <rFont val="Segoe UI"/>
        <family val="2"/>
      </rPr>
      <t xml:space="preserve"> Attack surface or vulnerability level for that objective.</t>
    </r>
  </si>
  <si>
    <t>Count exposed assets or open vulnerabilities.</t>
  </si>
  <si>
    <t>Use CVSS or similar scoring.</t>
  </si>
  <si>
    <t>Normalize:</t>
  </si>
  <si>
    <t>\epsilon_i = \frac{\text{# exposed assets}}{\text{total assets}}</t>
  </si>
  <si>
    <r>
      <t>What it is:</t>
    </r>
    <r>
      <rPr>
        <sz val="7"/>
        <color theme="1"/>
        <rFont val="Segoe UI"/>
        <family val="2"/>
      </rPr>
      <t xml:space="preserve"> Confidence in your measurements and controls.</t>
    </r>
  </si>
  <si>
    <t>Based on audit results or monitoring coverage.</t>
  </si>
  <si>
    <t>High assurance → close to 1; low assurance → closer to 0.</t>
  </si>
  <si>
    <t>Example: If 80% of controls are verified, ai=0.8a_i = 0.8ai​=0.8.</t>
  </si>
  <si>
    <r>
      <t>What it is:</t>
    </r>
    <r>
      <rPr>
        <sz val="7"/>
        <color theme="1"/>
        <rFont val="Segoe UI"/>
        <family val="2"/>
      </rPr>
      <t xml:space="preserve"> Site-specific scaling factor (e.g., criticality of that site).</t>
    </r>
  </si>
  <si>
    <t>Assign &gt;1 for critical sites, &lt;1 for less critical.</t>
  </si>
  <si>
    <t>Example: HQ = 1.5, small branch = 0.8.</t>
  </si>
  <si>
    <t>[</t>
  </si>
  <si>
    <t>]</t>
  </si>
  <si>
    <t>Objective 1 — Availability of Infrastructure (Av)</t>
  </si>
  <si>
    <t>Parameter</t>
  </si>
  <si>
    <t>Value</t>
  </si>
  <si>
    <t>Justification</t>
  </si>
  <si>
    <t>Likelihood ( \lambda_{Av} )</t>
  </si>
  <si>
    <t>0.75</t>
  </si>
  <si>
    <t>Power failures, cooling incidents, network outages and ransomware-driven outages are frequent in datacenters. Public incident databases (ENISA, Uptime Institute) show high occurrence.</t>
  </si>
  <si>
    <t>Impact ( \iota_{Av} )</t>
  </si>
  <si>
    <t>0.90</t>
  </si>
  <si>
    <t>Downtime directly affects SLAs, penalties, reputational damage, and customer churn. Financial impact is immediate and high.</t>
  </si>
  <si>
    <t>Exposure ( \epsilon_{Av} )</t>
  </si>
  <si>
    <t>0.80</t>
  </si>
  <si>
    <t>Availability depends on exposed components: network edge, power systems, remote management, OT/ICS interfaces.</t>
  </si>
  <si>
    <t>Assurance ( a_{Av} )</t>
  </si>
  <si>
    <t>0.85</t>
  </si>
  <si>
    <t>Availability metrics (uptime, MTTR, monitoring) are well-instrumented and auditable. High confidence in data.</t>
  </si>
  <si>
    <t>Localization ( \ell_{Av} )</t>
  </si>
  <si>
    <t>1.0</t>
  </si>
  <si>
    <t>No site-specific amplification assumed (baseline site).</t>
  </si>
  <si>
    <t>R_{Av} = 0.75 \times 0.90 \times 0.80 \times 0.85 \times 1.0 = 0.459</t>
  </si>
  <si>
    <t>Objective 2 — Physical Safety &amp; Security (Phy)</t>
  </si>
  <si>
    <t>Likelihood ( \lambda_{Phy} )</t>
  </si>
  <si>
    <t>0.40</t>
  </si>
  <si>
    <t>Physical intrusions or sabotage are rarer than cyber events, especially in controlled datacenters.</t>
  </si>
  <si>
    <t>Impact ( \iota_{Phy} )</t>
  </si>
  <si>
    <t>Physical breaches can cause safety incidents, asset loss, regulatory consequences, or cascading outages.</t>
  </si>
  <si>
    <t>Exposure ( \epsilon_{Phy} )</t>
  </si>
  <si>
    <t>0.50</t>
  </si>
  <si>
    <t>Physical perimeters are limited in number and access points are controlled.</t>
  </si>
  <si>
    <t>Assurance ( a_{Phy} )</t>
  </si>
  <si>
    <t>0.70</t>
  </si>
  <si>
    <t>Physical controls are audited, but blind spots exist (tailgating, insider threats).</t>
  </si>
  <si>
    <t>Localization ( \ell_{Phy} )</t>
  </si>
  <si>
    <t>Standard threat environment.</t>
  </si>
  <si>
    <t>R_{Phy} = 0.40 \times 0.85 \times 0.50 \times 0.70 = 0.119</t>
  </si>
  <si>
    <t>Objective 3 — Auditability &amp; Traceability (AM)</t>
  </si>
  <si>
    <t>Likelihood ( \lambda_{AM} )</t>
  </si>
  <si>
    <t>0.60</t>
  </si>
  <si>
    <t>Audit failures, missing logs, or insufficient traceability are common findings in audits and incidents.</t>
  </si>
  <si>
    <t>Impact ( \iota_{AM} )</t>
  </si>
  <si>
    <t>0.65</t>
  </si>
  <si>
    <t>Poor traceability rarely causes immediate outages, but increases regulatory, forensic, and legal exposure.</t>
  </si>
  <si>
    <t>Exposure ( \epsilon_{AM} )</t>
  </si>
  <si>
    <t>Logging systems span many assets, identities, and access paths.</t>
  </si>
  <si>
    <t>Assurance ( a_{AM} )</t>
  </si>
  <si>
    <t>Log coverage and SIEM metrics provide reasonable confidence, but completeness is hard to prove.</t>
  </si>
  <si>
    <t>Localization ( \ell_{AM} )</t>
  </si>
  <si>
    <t>No amplification assumed.</t>
  </si>
  <si>
    <t>R_{AM} = 0.60 \times 0.65 \times 0.60 \times 0.75 = 0.176</t>
  </si>
  <si>
    <t>Objective 4 — Confidentiality, Integrity &amp; Availability of Data (CIA)</t>
  </si>
  <si>
    <t>Likelihood ( \lambda_{CIA} )</t>
  </si>
  <si>
    <t>0.55</t>
  </si>
  <si>
    <t>Data breaches and integrity incidents are frequent but often mitigated by layered controls.</t>
  </si>
  <si>
    <t>Impact ( \iota_{CIA} )</t>
  </si>
  <si>
    <t>0.95</t>
  </si>
  <si>
    <t>Data compromise triggers GDPR penalties, client lawsuits, and contractual termination.</t>
  </si>
  <si>
    <t>Exposure ( \epsilon_{CIA} )</t>
  </si>
  <si>
    <t>Data flows across networks, storage, backups, APIs, and third parties.</t>
  </si>
  <si>
    <t>Assurance ( a_{CIA} )</t>
  </si>
  <si>
    <t>Detection of data exfiltration or integrity loss is imperfect.</t>
  </si>
  <si>
    <t>Localization ( \ell_{CIA} )</t>
  </si>
  <si>
    <t>Baseline assumption.</t>
  </si>
  <si>
    <t>R_{CIA} = 0.55 \times 0.95 \times 0.75 \times 0.70 = 0.274</t>
  </si>
  <si>
    <t>Normalized Objective Weights</t>
  </si>
  <si>
    <t>(consistent with your provided weights)</t>
  </si>
  <si>
    <t>Normalized Weight</t>
  </si>
  <si>
    <t>0.378</t>
  </si>
  <si>
    <t>0.265</t>
  </si>
  <si>
    <t>0.198</t>
  </si>
  <si>
    <t>0.159</t>
  </si>
  <si>
    <t>1. Network Security</t>
  </si>
  <si>
    <t>Vulnerability pressure (v_j)</t>
  </si>
  <si>
    <t>Frequent CVEs, exposed perimeter services, DDoS, misconfigurations.</t>
  </si>
  <si>
    <t>Utility (u_{Av})</t>
  </si>
  <si>
    <t>0.9</t>
  </si>
  <si>
    <t>Directly prevents outages.</t>
  </si>
  <si>
    <t>Utility (u_{CIA})</t>
  </si>
  <si>
    <t>0.7</t>
  </si>
  <si>
    <t>Reduces exfiltration and MITM.</t>
  </si>
  <si>
    <t>Utility (u_{AM})</t>
  </si>
  <si>
    <t>0.4</t>
  </si>
  <si>
    <t>Indirect logging improvement.</t>
  </si>
  <si>
    <t>Utility (u_{Phy})</t>
  </si>
  <si>
    <t>0.1</t>
  </si>
  <si>
    <t>Minimal physical impact.</t>
  </si>
  <si>
    <t>2. Identity &amp; Access Management (IAM)</t>
  </si>
  <si>
    <t>(v_j)</t>
  </si>
  <si>
    <t>Credential abuse dominates breach root causes.</t>
  </si>
  <si>
    <t>(u_{CIA})</t>
  </si>
  <si>
    <t>Prevents unauthorized access.</t>
  </si>
  <si>
    <t>(u_{AM})</t>
  </si>
  <si>
    <t>Enables traceability and non-repudiation.</t>
  </si>
  <si>
    <t>(u_{Av})</t>
  </si>
  <si>
    <t>0.6</t>
  </si>
  <si>
    <t>Prevents destructive misuse.</t>
  </si>
  <si>
    <t>(u_{Phy})</t>
  </si>
  <si>
    <t>Badge integration and access control.</t>
  </si>
  <si>
    <t>3. Cryptography</t>
  </si>
  <si>
    <t>Vulnerabilities are less frequent but high impact if present.</t>
  </si>
  <si>
    <t>Core to confidentiality and integrity.</t>
  </si>
  <si>
    <t>0.5</t>
  </si>
  <si>
    <t>Supports non-repudiation.</t>
  </si>
  <si>
    <t>0.2</t>
  </si>
  <si>
    <t>Minor availability impact.</t>
  </si>
  <si>
    <t>4. Security Operations (SOC)</t>
  </si>
  <si>
    <t>Gaps in detection and response are common.</t>
  </si>
  <si>
    <t>0.8</t>
  </si>
  <si>
    <t>Faster containment reduces downtime.</t>
  </si>
  <si>
    <t>Early detection limits breaches.</t>
  </si>
  <si>
    <t>Incident logs and forensics.</t>
  </si>
  <si>
    <t>5. Security Awareness &amp; Training</t>
  </si>
  <si>
    <t>Human error remains dominant attack vector.</t>
  </si>
  <si>
    <t>Reduces phishing success.</t>
  </si>
  <si>
    <t>Better process adherence.</t>
  </si>
  <si>
    <t>Fewer accidental outages.</t>
  </si>
  <si>
    <t>6. Critical Infrastructure Security (ICS/OT)</t>
  </si>
  <si>
    <t>Legacy OT systems, high exploitability.</t>
  </si>
  <si>
    <t>Directly protects power, cooling, BMS.</t>
  </si>
  <si>
    <t>Safety and physical continuity.</t>
  </si>
  <si>
    <t>7. Cyber Threat Intelligence (CTI)</t>
  </si>
  <si>
    <t>Depends on integration maturity.</t>
  </si>
  <si>
    <t>Proactive defense.</t>
  </si>
  <si>
    <t>Anticipates campaigns.</t>
  </si>
  <si>
    <t>Contextual enrichment.</t>
  </si>
  <si>
    <t>8. Risk Analysis</t>
  </si>
  <si>
    <t>Indirect but systemic risk driver.</t>
  </si>
  <si>
    <t>Better prioritization.</t>
  </si>
  <si>
    <t>Controls aligned to risks.</t>
  </si>
  <si>
    <t>Governance traceability.</t>
  </si>
  <si>
    <t>9. Physical Security</t>
  </si>
  <si>
    <t>Lower attack frequency.</t>
  </si>
  <si>
    <t>Core control domain.</t>
  </si>
  <si>
    <t>Prevents sabotage.</t>
  </si>
  <si>
    <t>10. Supply Chain Security</t>
  </si>
  <si>
    <t>Third-party and software supply chain incidents increasing.</t>
  </si>
  <si>
    <t>Prevents backdoors and data leaks.</t>
  </si>
  <si>
    <t>Reduces cascading failures.</t>
  </si>
  <si>
    <t>Vendor accountability.</t>
  </si>
  <si>
    <r>
      <t xml:space="preserve">Below, </t>
    </r>
    <r>
      <rPr>
        <b/>
        <sz val="11"/>
        <color theme="1"/>
        <rFont val="Calibri"/>
        <family val="2"/>
        <scheme val="minor"/>
      </rPr>
      <t>each non-zero coefficient is explicitly justified</t>
    </r>
    <r>
      <rPr>
        <sz val="11"/>
        <color theme="1"/>
        <rFont val="Calibri"/>
        <family val="2"/>
        <scheme val="minor"/>
      </rPr>
      <t>.</t>
    </r>
  </si>
  <si>
    <t>Network Security (T1)</t>
  </si>
  <si>
    <t>T1 ← T2 (IAM): +0.30</t>
  </si>
  <si>
    <t>Identity-aware networking (802.1X, NAC, ZTNA) improves segmentation effectiveness.</t>
  </si>
  <si>
    <t>T1 ← T4 (SOC): +0.40</t>
  </si>
  <si>
    <t>SOC tuning improves firewall rule monitoring and anomaly detection.</t>
  </si>
  <si>
    <t>T1 ← T6 (Critical Infrastructure): +0.40</t>
  </si>
  <si>
    <t>OT network segmentation significantly benefits from secure network architecture.</t>
  </si>
  <si>
    <t>Identity &amp; Access Management (T2)</t>
  </si>
  <si>
    <t>T2 ← T1 (Network): +0.25</t>
  </si>
  <si>
    <t>Secure network zones reduce identity attack surface.</t>
  </si>
  <si>
    <t>T2 ← T3 (Crypto): +0.20</t>
  </si>
  <si>
    <t>Strong key management supports authentication strength.</t>
  </si>
  <si>
    <t>T2 ← T4 (SOC): +0.35</t>
  </si>
  <si>
    <t>SOC detection enables rapid identity abuse remediation.</t>
  </si>
  <si>
    <t>T2 ← T5 (Awareness): +0.30</t>
  </si>
  <si>
    <t>Training reduces credential compromise.</t>
  </si>
  <si>
    <t>T2 ← T8 (Risk Analysis): +0.30</t>
  </si>
  <si>
    <t>Risk assessments drive access policy prioritization.</t>
  </si>
  <si>
    <t>T2 ← T9 (Physical): +0.40</t>
  </si>
  <si>
    <t>Badge systems and logical IAM integration reinforce access control.</t>
  </si>
  <si>
    <t>Cryptography (T3)</t>
  </si>
  <si>
    <t>T3 ← T2 (IAM): +0.20</t>
  </si>
  <si>
    <t>Identity-bound keys improve cryptographic assurance.</t>
  </si>
  <si>
    <t>T3 ← T4 (SOC): +0.15</t>
  </si>
  <si>
    <t>SOC visibility improves detection of crypto misuse.</t>
  </si>
  <si>
    <t>T3 ← T10 (Supply Chain): +0.25</t>
  </si>
  <si>
    <t>Vendor key management and code signing strengthen cryptographic trust.</t>
  </si>
  <si>
    <t>Security Operations (T4)</t>
  </si>
  <si>
    <t>T4 ← T1 (Network): −0.20</t>
  </si>
  <si>
    <t>High-end network controls reduce incremental SOC value (partial redundancy).</t>
  </si>
  <si>
    <t>T4 ← T2 (IAM): +0.40</t>
  </si>
  <si>
    <t>Identity context dramatically improves detection accuracy.</t>
  </si>
  <si>
    <t>T4 ← T5 (Awareness): +0.25</t>
  </si>
  <si>
    <t>Better reporting quality improves SOC efficiency.</t>
  </si>
  <si>
    <t>T4 ← T7 (CTI): +0.50</t>
  </si>
  <si>
    <t>Threat intelligence strongly enhances detection rules.</t>
  </si>
  <si>
    <t>T4 ← T10 (Supply Chain): +0.30</t>
  </si>
  <si>
    <t>Visibility into third-party risks improves response.</t>
  </si>
  <si>
    <t>Security Awareness (T5)</t>
  </si>
  <si>
    <t>T5 ← T2 (IAM): +0.30</t>
  </si>
  <si>
    <t>IAM training reinforces proper credential usage.</t>
  </si>
  <si>
    <t>T5 ← T4 (SOC): +0.25</t>
  </si>
  <si>
    <t>Incident feedback improves training relevance.</t>
  </si>
  <si>
    <t>T5 ← T8 (Risk): +0.20</t>
  </si>
  <si>
    <t>Risk insights shape targeted training.</t>
  </si>
  <si>
    <t>T5 ← T9 (Physical): +0.15</t>
  </si>
  <si>
    <t>Physical security behavior improves with awareness.</t>
  </si>
  <si>
    <t>T5 ← T10 (Supply Chain): +0.20</t>
  </si>
  <si>
    <t>Vendor interaction awareness reduces social engineering.</t>
  </si>
  <si>
    <t>Critical Infrastructure Security (T6)</t>
  </si>
  <si>
    <t>T6 ← T1 (Network): +0.35</t>
  </si>
  <si>
    <t>Network segmentation is fundamental for OT protection.</t>
  </si>
  <si>
    <t>T6 ← T4 (SOC): +0.30</t>
  </si>
  <si>
    <t>SOC monitoring detects OT anomalies.</t>
  </si>
  <si>
    <t>T6 ← T9 (Physical): +0.40</t>
  </si>
  <si>
    <t>Physical access directly affects OT safety.</t>
  </si>
  <si>
    <t>Cyber Threat Intelligence (T7)</t>
  </si>
  <si>
    <t>T7 ← T4 (SOC): +0.50</t>
  </si>
  <si>
    <t>SOC feedback improves intelligence relevance.</t>
  </si>
  <si>
    <t>T7 ← T8 (Risk): +0.30</t>
  </si>
  <si>
    <t>Risk analysis prioritizes threat consumption.</t>
  </si>
  <si>
    <t>T7 ← T10 (Supply Chain): +0.25</t>
  </si>
  <si>
    <t>Supplier threat feeds enrich CTI.</t>
  </si>
  <si>
    <t>Risk Analysis (T8)</t>
  </si>
  <si>
    <t>T8 ← T2 (IAM): +0.30</t>
  </si>
  <si>
    <t>Identity risks inform enterprise risk models.</t>
  </si>
  <si>
    <t>T8 ← T5 (Awareness): +0.20</t>
  </si>
  <si>
    <t>Human risk metrics improve assessments.</t>
  </si>
  <si>
    <t>T8 ← T6 (Critical Infra): +0.25</t>
  </si>
  <si>
    <t>OT risk is high-impact and must be integrated.</t>
  </si>
  <si>
    <t>T8 ← T7 (CTI): +0.30</t>
  </si>
  <si>
    <t>Threat trends feed risk scenarios.</t>
  </si>
  <si>
    <t>T8 ← T9 (Physical): +0.20</t>
  </si>
  <si>
    <t>Physical threats influence enterprise risk.</t>
  </si>
  <si>
    <t>T8 ← T10 (Supply Chain): +0.50</t>
  </si>
  <si>
    <t>Third-party risk is a dominant governance driver.</t>
  </si>
  <si>
    <t>Physical Security (T9)</t>
  </si>
  <si>
    <t>T9 ← T2 (IAM): +0.40</t>
  </si>
  <si>
    <t>Logical-physical access convergence strengthens control.</t>
  </si>
  <si>
    <t>T9 ← T5 (Awareness): +0.15</t>
  </si>
  <si>
    <t>Human vigilance improves physical security.</t>
  </si>
  <si>
    <t>T9 ← T6 (Critical Infra): +0.40</t>
  </si>
  <si>
    <t>OT assets require strong physical protection.</t>
  </si>
  <si>
    <t>T9 ← T10 (Supply Chain): +0.20</t>
  </si>
  <si>
    <t>Vendor access impacts site security.</t>
  </si>
  <si>
    <t>Supply Chain Security (T10)</t>
  </si>
  <si>
    <t>T10 ← T3 (Crypto): +0.25</t>
  </si>
  <si>
    <t>Code signing and secure updates reduce risk.</t>
  </si>
  <si>
    <t>T10 ← T4 (SOC): +0.30</t>
  </si>
  <si>
    <t>Monitoring third-party activity improves detection.</t>
  </si>
  <si>
    <t>T10 ← T5 (Awareness): +0.20</t>
  </si>
  <si>
    <t>Procurement staff awareness reduces vendor risk.</t>
  </si>
  <si>
    <t>T10 ← T7 (CTI): +0.25</t>
  </si>
  <si>
    <t>Threat intel highlights compromised suppliers.</t>
  </si>
  <si>
    <t>T10 ← T8 (Risk): +0.50</t>
  </si>
  <si>
    <t>Governance drives supplier risk management.</t>
  </si>
  <si>
    <t>T10 ← T9 (Physical): +0.20</t>
  </si>
  <si>
    <t>On-site contractors impact supply chain security.</t>
  </si>
  <si>
    <t xml:space="preserve"> 1. Likelihood (λi\lambda_iλi​)</t>
  </si>
  <si>
    <t>5. Localization (ℓi(s)\ell_i^{(s)}ℓi(s)​)</t>
  </si>
  <si>
    <t>4. Assurance (aia_iai​)</t>
  </si>
  <si>
    <t xml:space="preserve"> 3. Exposure (ϵi\epsilon_iϵi​)</t>
  </si>
  <si>
    <t xml:space="preserve"> 2. Impact (ιi\iota_iιi​)</t>
  </si>
  <si>
    <t>How to choose β?</t>
  </si>
  <si>
    <t xml:space="preserve"> Matrix DDD: When values are positive or negative</t>
  </si>
  <si>
    <t xml:space="preserve"> Alpha (α\alphaα): What it does</t>
  </si>
  <si>
    <t>Justification for Each Interdependency</t>
  </si>
  <si>
    <t>Intuitive meaning (plain language)</t>
  </si>
  <si>
    <r>
      <t xml:space="preserve">The parameter </t>
    </r>
    <r>
      <rPr>
        <b/>
        <sz val="11"/>
        <color theme="1"/>
        <rFont val="Calibri"/>
        <family val="2"/>
        <scheme val="minor"/>
      </rPr>
      <t>α does not come from data</t>
    </r>
    <r>
      <rPr>
        <sz val="11"/>
        <color theme="1"/>
        <rFont val="Calibri"/>
        <family val="2"/>
        <scheme val="minor"/>
      </rPr>
      <t>.</t>
    </r>
  </si>
  <si>
    <r>
      <t xml:space="preserve">It is a </t>
    </r>
    <r>
      <rPr>
        <b/>
        <sz val="11"/>
        <color theme="1"/>
        <rFont val="Calibri"/>
        <family val="2"/>
        <scheme val="minor"/>
      </rPr>
      <t>model calibration parameter</t>
    </r>
    <r>
      <rPr>
        <sz val="11"/>
        <color theme="1"/>
        <rFont val="Calibri"/>
        <family val="2"/>
        <scheme val="minor"/>
      </rPr>
      <t xml:space="preserve"> that answers this question:</t>
    </r>
  </si>
  <si>
    <t>How much do we want interdependencies between topics to influence prioritization, compared to their standalone scores?</t>
  </si>
  <si>
    <t>If α is:</t>
  </si>
  <si>
    <r>
      <t>0</t>
    </r>
    <r>
      <rPr>
        <sz val="11"/>
        <color theme="1"/>
        <rFont val="Calibri"/>
        <family val="2"/>
        <scheme val="minor"/>
      </rPr>
      <t xml:space="preserve"> → topics are evaluated independently (no synergies)</t>
    </r>
  </si>
  <si>
    <r>
      <t>Small (e.g. 0.1–0.3)</t>
    </r>
    <r>
      <rPr>
        <sz val="11"/>
        <color theme="1"/>
        <rFont val="Calibri"/>
        <family val="2"/>
        <scheme val="minor"/>
      </rPr>
      <t xml:space="preserve"> → interdependencies matter, but do not dominate</t>
    </r>
  </si>
  <si>
    <r>
      <t>Large (e.g. &gt; 0.6)</t>
    </r>
    <r>
      <rPr>
        <sz val="11"/>
        <color theme="1"/>
        <rFont val="Calibri"/>
        <family val="2"/>
        <scheme val="minor"/>
      </rPr>
      <t xml:space="preserve"> → small interactions can strongly distort rankings</t>
    </r>
  </si>
  <si>
    <r>
      <t xml:space="preserve">So α is chosen to be </t>
    </r>
    <r>
      <rPr>
        <b/>
        <sz val="11"/>
        <color theme="1"/>
        <rFont val="Calibri"/>
        <family val="2"/>
        <scheme val="minor"/>
      </rPr>
      <t>large enough to matter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small enough to remain stable and interpretable</t>
    </r>
    <r>
      <rPr>
        <sz val="11"/>
        <color theme="1"/>
        <rFont val="Calibri"/>
        <family val="2"/>
        <scheme val="minor"/>
      </rPr>
      <t>.</t>
    </r>
  </si>
  <si>
    <t>How α is calibrated in practice (step-by-step)</t>
  </si>
  <si>
    <t>Step 1 — Fix everything else</t>
  </si>
  <si>
    <t>You keep:</t>
  </si>
  <si>
    <t>topic scores,</t>
  </si>
  <si>
    <t>objective utilities,</t>
  </si>
  <si>
    <t>vulnerability pressure,</t>
  </si>
  <si>
    <t>interdependency matrix ( D )</t>
  </si>
  <si>
    <r>
      <t>constant</t>
    </r>
    <r>
      <rPr>
        <sz val="11"/>
        <color theme="1"/>
        <rFont val="Calibri"/>
        <family val="2"/>
        <scheme val="minor"/>
      </rPr>
      <t>.</t>
    </r>
  </si>
  <si>
    <t>Step 2 — Compute rankings for increasing α</t>
  </si>
  <si>
    <t>You compute the topic scores (or portfolio objective) several times:</t>
  </si>
  <si>
    <t>α value</t>
  </si>
  <si>
    <t>Resulting ranking (example)</t>
  </si>
  <si>
    <t>0.0</t>
  </si>
  <si>
    <t>IAM &gt; Network &gt; SOC &gt; Crypto</t>
  </si>
  <si>
    <t>0.3</t>
  </si>
  <si>
    <t>IAM &gt; SOC &gt; Network &gt; Crypto</t>
  </si>
  <si>
    <t>SOC &gt; IAM &gt; Network &gt; Crypto</t>
  </si>
  <si>
    <t>SOC &gt; Network &gt; IAM &gt; Crypto</t>
  </si>
  <si>
    <t>Step 3 — Observe ranking stability</t>
  </si>
  <si>
    <r>
      <t xml:space="preserve">You look for the </t>
    </r>
    <r>
      <rPr>
        <b/>
        <sz val="11"/>
        <color theme="1"/>
        <rFont val="Calibri"/>
        <family val="2"/>
        <scheme val="minor"/>
      </rPr>
      <t>largest α</t>
    </r>
    <r>
      <rPr>
        <sz val="11"/>
        <color theme="1"/>
        <rFont val="Calibri"/>
        <family val="2"/>
        <scheme val="minor"/>
      </rPr>
      <t xml:space="preserve"> such that:</t>
    </r>
  </si>
  <si>
    <r>
      <t xml:space="preserve">the </t>
    </r>
    <r>
      <rPr>
        <b/>
        <sz val="11"/>
        <color theme="1"/>
        <rFont val="Calibri"/>
        <family val="2"/>
        <scheme val="minor"/>
      </rPr>
      <t>top-ranked topics remain stable</t>
    </r>
    <r>
      <rPr>
        <sz val="11"/>
        <color theme="1"/>
        <rFont val="Calibri"/>
        <family val="2"/>
        <scheme val="minor"/>
      </rPr>
      <t>, and</t>
    </r>
  </si>
  <si>
    <r>
      <t xml:space="preserve">rank changes are </t>
    </r>
    <r>
      <rPr>
        <b/>
        <sz val="11"/>
        <color theme="1"/>
        <rFont val="Calibri"/>
        <family val="2"/>
        <scheme val="minor"/>
      </rPr>
      <t>gradual and explainable</t>
    </r>
    <r>
      <rPr>
        <sz val="11"/>
        <color theme="1"/>
        <rFont val="Calibri"/>
        <family val="2"/>
        <scheme val="minor"/>
      </rPr>
      <t xml:space="preserve"> (not abrupt).</t>
    </r>
  </si>
  <si>
    <t>In the example above:</t>
  </si>
  <si>
    <r>
      <t xml:space="preserve">Rankings are stable up to </t>
    </r>
    <r>
      <rPr>
        <b/>
        <sz val="11"/>
        <color theme="1"/>
        <rFont val="Calibri"/>
        <family val="2"/>
        <scheme val="minor"/>
      </rPr>
      <t>α = 0.2</t>
    </r>
  </si>
  <si>
    <r>
      <t xml:space="preserve">At </t>
    </r>
    <r>
      <rPr>
        <b/>
        <sz val="11"/>
        <color theme="1"/>
        <rFont val="Calibri"/>
        <family val="2"/>
        <scheme val="minor"/>
      </rPr>
      <t>α = 0.3</t>
    </r>
    <r>
      <rPr>
        <sz val="11"/>
        <color theme="1"/>
        <rFont val="Calibri"/>
        <family val="2"/>
        <scheme val="minor"/>
      </rPr>
      <t>, interactions begin to meaningfully influence results</t>
    </r>
  </si>
  <si>
    <r>
      <t xml:space="preserve">Beyond </t>
    </r>
    <r>
      <rPr>
        <b/>
        <sz val="11"/>
        <color theme="1"/>
        <rFont val="Calibri"/>
        <family val="2"/>
        <scheme val="minor"/>
      </rPr>
      <t>α = 0.4</t>
    </r>
    <r>
      <rPr>
        <sz val="11"/>
        <color theme="1"/>
        <rFont val="Calibri"/>
        <family val="2"/>
        <scheme val="minor"/>
      </rPr>
      <t>, rankings flip sharply → excessive amplification</t>
    </r>
  </si>
  <si>
    <t>Step 4 — Select α</t>
  </si>
  <si>
    <t>You select:</t>
  </si>
  <si>
    <t>\alpha = 0.2 \quad \text{(or } 0.3 \text{ if moderate interaction is desired)}</t>
  </si>
  <si>
    <t>This value:</t>
  </si>
  <si>
    <t>captures real synergies,</t>
  </si>
  <si>
    <t>avoids artificial dominance due to modeling artifacts.</t>
  </si>
  <si>
    <t>Simple numerical intuition</t>
  </si>
  <si>
    <t>Assume:</t>
  </si>
  <si>
    <t>Topic score = 0.6</t>
  </si>
  <si>
    <t>Interdependency effect = 0.5</t>
  </si>
  <si>
    <t>α</t>
  </si>
  <si>
    <t>Interaction contribution</t>
  </si>
  <si>
    <t>0.05</t>
  </si>
  <si>
    <t>0.15</t>
  </si>
  <si>
    <t>0.30</t>
  </si>
  <si>
    <r>
      <t xml:space="preserve">At high α, </t>
    </r>
    <r>
      <rPr>
        <b/>
        <sz val="11"/>
        <color theme="1"/>
        <rFont val="Calibri"/>
        <family val="2"/>
        <scheme val="minor"/>
      </rPr>
      <t>interactions can outweigh the original score</t>
    </r>
    <r>
      <rPr>
        <sz val="11"/>
        <color theme="1"/>
        <rFont val="Calibri"/>
        <family val="2"/>
        <scheme val="minor"/>
      </rPr>
      <t>, which is usually undesirable at a strategic level.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</si>
</sst>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5"/>
      <color theme="1"/>
      <name val="Segoe UI"/>
      <family val="2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sz val="7"/>
      <color rgb="FFCC0000"/>
      <name val="Segoe U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Segoe UI"/>
      <family val="2"/>
    </font>
    <font>
      <sz val="12"/>
      <color theme="1"/>
      <name val="Segoe UI"/>
      <family val="2"/>
    </font>
    <font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 indent="1"/>
    </xf>
    <xf numFmtId="0" fontId="0" fillId="0" borderId="2" xfId="0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3" xfId="0" applyBorder="1"/>
    <xf numFmtId="0" fontId="0" fillId="0" borderId="3" xfId="0" quotePrefix="1" applyBorder="1"/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/>
    </xf>
    <xf numFmtId="0" fontId="0" fillId="2" borderId="3" xfId="0" applyFill="1" applyBorder="1"/>
    <xf numFmtId="0" fontId="0" fillId="2" borderId="0" xfId="0" applyFill="1"/>
    <xf numFmtId="0" fontId="4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4"/>
  <sheetViews>
    <sheetView zoomScale="113" zoomScaleNormal="65" workbookViewId="0">
      <selection activeCell="H21" sqref="H21"/>
    </sheetView>
  </sheetViews>
  <sheetFormatPr baseColWidth="10" defaultColWidth="8.6640625" defaultRowHeight="15" x14ac:dyDescent="0.2"/>
  <cols>
    <col min="2" max="2" width="18" customWidth="1"/>
    <col min="8" max="8" width="21.1640625" customWidth="1"/>
    <col min="14" max="14" width="25.6640625" customWidth="1"/>
    <col min="24" max="24" width="20.6640625" customWidth="1"/>
    <col min="25" max="25" width="30.83203125" bestFit="1" customWidth="1"/>
  </cols>
  <sheetData>
    <row r="1" spans="1:26" ht="16" x14ac:dyDescent="0.2">
      <c r="A1" s="23" t="s">
        <v>0</v>
      </c>
      <c r="B1" s="23" t="s">
        <v>15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21</v>
      </c>
      <c r="K1" s="16" t="s">
        <v>352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6" t="s">
        <v>355</v>
      </c>
      <c r="Y1" s="4"/>
      <c r="Z1" s="4"/>
    </row>
    <row r="2" spans="1:26" x14ac:dyDescent="0.2">
      <c r="A2" s="23" t="s">
        <v>1</v>
      </c>
      <c r="B2" s="23">
        <v>0.4</v>
      </c>
      <c r="C2" s="23">
        <v>1</v>
      </c>
      <c r="D2" s="23">
        <v>1</v>
      </c>
      <c r="E2" s="23">
        <v>0.7</v>
      </c>
      <c r="F2" s="23">
        <v>0.5</v>
      </c>
      <c r="G2" s="23">
        <f>B2*C2*D2*E2*F2</f>
        <v>0.13999999999999999</v>
      </c>
      <c r="H2" s="23">
        <f>G2/SUM(G2:G5)</f>
        <v>0.3780718336483932</v>
      </c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7"/>
      <c r="Y2" s="4"/>
      <c r="Z2" s="4"/>
    </row>
    <row r="3" spans="1:26" x14ac:dyDescent="0.2">
      <c r="A3" s="23" t="s">
        <v>2</v>
      </c>
      <c r="B3" s="23">
        <v>0.4</v>
      </c>
      <c r="C3" s="23">
        <v>0.7</v>
      </c>
      <c r="D3" s="23">
        <v>1</v>
      </c>
      <c r="E3" s="23">
        <v>0.7</v>
      </c>
      <c r="F3" s="23">
        <v>0.5</v>
      </c>
      <c r="G3" s="23">
        <f>B3*C3*D3*E3*F3</f>
        <v>9.799999999999999E-2</v>
      </c>
      <c r="H3" s="23">
        <f>G3/SUM(G2:G5)</f>
        <v>0.26465028355387521</v>
      </c>
      <c r="K3" s="9" t="s">
        <v>92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9" t="s">
        <v>101</v>
      </c>
      <c r="Y3" s="4"/>
      <c r="Z3" s="4"/>
    </row>
    <row r="4" spans="1:26" x14ac:dyDescent="0.2">
      <c r="A4" s="23" t="s">
        <v>3</v>
      </c>
      <c r="B4" s="23">
        <v>0.6</v>
      </c>
      <c r="C4" s="23">
        <v>0.5</v>
      </c>
      <c r="D4" s="23">
        <v>0.7</v>
      </c>
      <c r="E4" s="23">
        <v>0.7</v>
      </c>
      <c r="F4" s="23">
        <v>0.5</v>
      </c>
      <c r="G4" s="23">
        <f>B4*C4*D4*E4*F4</f>
        <v>7.3499999999999996E-2</v>
      </c>
      <c r="H4" s="23">
        <f>G4/SUM(G2:G5)</f>
        <v>0.19848771266540643</v>
      </c>
      <c r="K4" s="9" t="s">
        <v>42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9" t="s">
        <v>42</v>
      </c>
      <c r="Y4" s="4"/>
      <c r="Z4" s="4"/>
    </row>
    <row r="5" spans="1:26" x14ac:dyDescent="0.2">
      <c r="A5" s="23" t="s">
        <v>4</v>
      </c>
      <c r="B5" s="23">
        <v>0.7</v>
      </c>
      <c r="C5" s="23">
        <v>0.4</v>
      </c>
      <c r="D5" s="23">
        <v>0.6</v>
      </c>
      <c r="E5" s="23">
        <v>0.7</v>
      </c>
      <c r="F5" s="23">
        <v>0.5</v>
      </c>
      <c r="G5" s="23">
        <f>B5*C5*D5*E5*F5</f>
        <v>5.8799999999999991E-2</v>
      </c>
      <c r="H5" s="23">
        <f>G5/SUM(G2:G5)</f>
        <v>0.15879017013232513</v>
      </c>
      <c r="K5" s="11" t="s">
        <v>93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 t="s">
        <v>102</v>
      </c>
      <c r="Y5" s="4"/>
      <c r="Z5" s="4"/>
    </row>
    <row r="6" spans="1:26" x14ac:dyDescent="0.2">
      <c r="K6" s="11" t="s">
        <v>94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 t="s">
        <v>103</v>
      </c>
      <c r="Y6" s="4"/>
      <c r="Z6" s="4"/>
    </row>
    <row r="7" spans="1:26" x14ac:dyDescent="0.2">
      <c r="K7" s="11" t="s">
        <v>95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 t="s">
        <v>104</v>
      </c>
      <c r="Y7" s="4"/>
      <c r="Z7" s="4"/>
    </row>
    <row r="8" spans="1:26" x14ac:dyDescent="0.2">
      <c r="K8" s="11" t="s">
        <v>96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7" t="s">
        <v>105</v>
      </c>
      <c r="Y8" s="4"/>
      <c r="Z8" s="4"/>
    </row>
    <row r="9" spans="1:26" x14ac:dyDescent="0.2">
      <c r="K9" s="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8"/>
      <c r="Y9" s="4"/>
      <c r="Z9" s="4"/>
    </row>
    <row r="10" spans="1:26" x14ac:dyDescent="0.2"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8"/>
      <c r="Y11" s="4"/>
      <c r="Z11" s="4"/>
    </row>
    <row r="12" spans="1:26" ht="16" x14ac:dyDescent="0.2">
      <c r="K12" s="16" t="s">
        <v>356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6" t="s">
        <v>354</v>
      </c>
      <c r="Y12" s="4"/>
      <c r="Z12" s="4"/>
    </row>
    <row r="13" spans="1:26" x14ac:dyDescent="0.2"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"/>
      <c r="Y13" s="4"/>
      <c r="Z13" s="4"/>
    </row>
    <row r="14" spans="1:26" x14ac:dyDescent="0.2">
      <c r="K14" s="9" t="s">
        <v>97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9" t="s">
        <v>106</v>
      </c>
      <c r="Y14" s="4"/>
      <c r="Z14" s="4"/>
    </row>
    <row r="15" spans="1:26" x14ac:dyDescent="0.2">
      <c r="K15" s="9" t="s">
        <v>42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9" t="s">
        <v>42</v>
      </c>
      <c r="Y15" s="4"/>
      <c r="Z15" s="4"/>
    </row>
    <row r="16" spans="1:26" x14ac:dyDescent="0.2">
      <c r="K16" s="11" t="s">
        <v>98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1" t="s">
        <v>107</v>
      </c>
      <c r="Y16" s="4"/>
      <c r="Z16" s="4"/>
    </row>
    <row r="17" spans="11:26" x14ac:dyDescent="0.2">
      <c r="K17" s="11" t="s">
        <v>99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1" t="s">
        <v>108</v>
      </c>
      <c r="Y17" s="4"/>
      <c r="Z17" s="4"/>
    </row>
    <row r="18" spans="11:26" x14ac:dyDescent="0.2">
      <c r="K18" s="11" t="s">
        <v>100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1" t="s">
        <v>109</v>
      </c>
      <c r="Y18" s="4"/>
      <c r="Z18" s="4"/>
    </row>
    <row r="19" spans="11:26" x14ac:dyDescent="0.2"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8"/>
      <c r="Y19" s="4"/>
      <c r="Z19" s="4"/>
    </row>
    <row r="20" spans="11:26" x14ac:dyDescent="0.2"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1:26" x14ac:dyDescent="0.2">
      <c r="K21" s="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8"/>
      <c r="Y21" s="4"/>
      <c r="Z21" s="4"/>
    </row>
    <row r="22" spans="11:26" ht="16" x14ac:dyDescent="0.2"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6" t="s">
        <v>353</v>
      </c>
      <c r="Y22" s="4"/>
      <c r="Z22" s="4"/>
    </row>
    <row r="23" spans="11:26" x14ac:dyDescent="0.2"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7"/>
      <c r="Y23" s="4"/>
      <c r="Z23" s="4"/>
    </row>
    <row r="24" spans="11:26" x14ac:dyDescent="0.2"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9" t="s">
        <v>110</v>
      </c>
      <c r="Y24" s="4"/>
      <c r="Z24" s="4"/>
    </row>
    <row r="25" spans="11:26" x14ac:dyDescent="0.2"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9" t="s">
        <v>42</v>
      </c>
      <c r="Y25" s="4"/>
      <c r="Z25" s="4"/>
    </row>
    <row r="26" spans="11:26" x14ac:dyDescent="0.2"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1" t="s">
        <v>111</v>
      </c>
      <c r="Y26" s="4"/>
      <c r="Z26" s="4"/>
    </row>
    <row r="27" spans="11:26" x14ac:dyDescent="0.2"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1" t="s">
        <v>112</v>
      </c>
      <c r="Y27" s="4"/>
      <c r="Z27" s="4"/>
    </row>
    <row r="28" spans="11:26" x14ac:dyDescent="0.2"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1:26" ht="24" x14ac:dyDescent="0.2">
      <c r="K29" s="4"/>
      <c r="L29" s="13" t="s">
        <v>115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13" t="s">
        <v>150</v>
      </c>
      <c r="X29" s="4"/>
      <c r="Y29" s="4"/>
      <c r="Z29" s="4"/>
    </row>
    <row r="30" spans="11:26" x14ac:dyDescent="0.2"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1:26" ht="32" x14ac:dyDescent="0.2">
      <c r="K31" s="4"/>
      <c r="L31" s="18" t="s">
        <v>116</v>
      </c>
      <c r="M31" s="18" t="s">
        <v>117</v>
      </c>
      <c r="N31" s="18" t="s">
        <v>118</v>
      </c>
      <c r="O31" s="4"/>
      <c r="P31" s="4"/>
      <c r="Q31" s="4"/>
      <c r="R31" s="4"/>
      <c r="S31" s="4"/>
      <c r="T31" s="4"/>
      <c r="U31" s="4"/>
      <c r="V31" s="4"/>
      <c r="W31" s="18" t="s">
        <v>116</v>
      </c>
      <c r="X31" s="18" t="s">
        <v>117</v>
      </c>
      <c r="Y31" s="18" t="s">
        <v>118</v>
      </c>
      <c r="Z31" s="4"/>
    </row>
    <row r="32" spans="11:26" ht="112" x14ac:dyDescent="0.2">
      <c r="K32" s="4"/>
      <c r="L32" s="19" t="s">
        <v>119</v>
      </c>
      <c r="M32" s="20" t="s">
        <v>120</v>
      </c>
      <c r="N32" s="19" t="s">
        <v>121</v>
      </c>
      <c r="O32" s="4"/>
      <c r="P32" s="4"/>
      <c r="Q32" s="4"/>
      <c r="R32" s="4"/>
      <c r="S32" s="4"/>
      <c r="T32" s="4"/>
      <c r="U32" s="4"/>
      <c r="V32" s="4"/>
      <c r="W32" s="19" t="s">
        <v>151</v>
      </c>
      <c r="X32" s="20" t="s">
        <v>152</v>
      </c>
      <c r="Y32" s="19" t="s">
        <v>153</v>
      </c>
      <c r="Z32" s="4"/>
    </row>
    <row r="33" spans="11:26" ht="64" x14ac:dyDescent="0.2">
      <c r="K33" s="4"/>
      <c r="L33" s="19" t="s">
        <v>122</v>
      </c>
      <c r="M33" s="20" t="s">
        <v>123</v>
      </c>
      <c r="N33" s="19" t="s">
        <v>124</v>
      </c>
      <c r="O33" s="4"/>
      <c r="P33" s="4"/>
      <c r="Q33" s="4"/>
      <c r="R33" s="4"/>
      <c r="S33" s="4"/>
      <c r="T33" s="4"/>
      <c r="U33" s="4"/>
      <c r="V33" s="4"/>
      <c r="W33" s="19" t="s">
        <v>154</v>
      </c>
      <c r="X33" s="20" t="s">
        <v>155</v>
      </c>
      <c r="Y33" s="19" t="s">
        <v>156</v>
      </c>
      <c r="Z33" s="4"/>
    </row>
    <row r="34" spans="11:26" ht="64" x14ac:dyDescent="0.2">
      <c r="K34" s="4"/>
      <c r="L34" s="19" t="s">
        <v>125</v>
      </c>
      <c r="M34" s="20" t="s">
        <v>126</v>
      </c>
      <c r="N34" s="19" t="s">
        <v>127</v>
      </c>
      <c r="O34" s="4"/>
      <c r="P34" s="4"/>
      <c r="Q34" s="4"/>
      <c r="R34" s="4"/>
      <c r="S34" s="4"/>
      <c r="T34" s="4"/>
      <c r="U34" s="4"/>
      <c r="V34" s="4"/>
      <c r="W34" s="19" t="s">
        <v>157</v>
      </c>
      <c r="X34" s="20" t="s">
        <v>152</v>
      </c>
      <c r="Y34" s="19" t="s">
        <v>158</v>
      </c>
      <c r="Z34" s="4"/>
    </row>
    <row r="35" spans="11:26" ht="64" x14ac:dyDescent="0.2">
      <c r="K35" s="4"/>
      <c r="L35" s="19" t="s">
        <v>128</v>
      </c>
      <c r="M35" s="20" t="s">
        <v>129</v>
      </c>
      <c r="N35" s="19" t="s">
        <v>130</v>
      </c>
      <c r="O35" s="4"/>
      <c r="P35" s="4"/>
      <c r="Q35" s="4"/>
      <c r="R35" s="4"/>
      <c r="S35" s="4"/>
      <c r="T35" s="4"/>
      <c r="U35" s="4"/>
      <c r="V35" s="4"/>
      <c r="W35" s="19" t="s">
        <v>159</v>
      </c>
      <c r="X35" s="20" t="s">
        <v>120</v>
      </c>
      <c r="Y35" s="19" t="s">
        <v>160</v>
      </c>
      <c r="Z35" s="4"/>
    </row>
    <row r="36" spans="11:26" ht="64" x14ac:dyDescent="0.2">
      <c r="K36" s="4"/>
      <c r="L36" s="19" t="s">
        <v>131</v>
      </c>
      <c r="M36" s="20" t="s">
        <v>132</v>
      </c>
      <c r="N36" s="19" t="s">
        <v>133</v>
      </c>
      <c r="O36" s="4"/>
      <c r="P36" s="4"/>
      <c r="Q36" s="4"/>
      <c r="R36" s="4"/>
      <c r="S36" s="4"/>
      <c r="T36" s="4"/>
      <c r="U36" s="4"/>
      <c r="V36" s="4"/>
      <c r="W36" s="19" t="s">
        <v>161</v>
      </c>
      <c r="X36" s="20" t="s">
        <v>132</v>
      </c>
      <c r="Y36" s="19" t="s">
        <v>162</v>
      </c>
      <c r="Z36" s="4"/>
    </row>
    <row r="37" spans="11:26" x14ac:dyDescent="0.2"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1:26" x14ac:dyDescent="0.2">
      <c r="K38" s="4"/>
      <c r="L38" s="4" t="s">
        <v>113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 t="s">
        <v>113</v>
      </c>
      <c r="X38" s="4"/>
      <c r="Y38" s="4"/>
      <c r="Z38" s="4"/>
    </row>
    <row r="39" spans="11:26" x14ac:dyDescent="0.2">
      <c r="K39" s="4"/>
      <c r="L39" s="4" t="s">
        <v>134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 t="s">
        <v>163</v>
      </c>
      <c r="X39" s="4"/>
      <c r="Y39" s="4"/>
      <c r="Z39" s="4"/>
    </row>
    <row r="40" spans="11:26" x14ac:dyDescent="0.2">
      <c r="K40" s="4"/>
      <c r="L40" s="4" t="s">
        <v>114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 t="s">
        <v>114</v>
      </c>
      <c r="X40" s="4"/>
      <c r="Y40" s="4"/>
      <c r="Z40" s="4"/>
    </row>
    <row r="41" spans="11:26" x14ac:dyDescent="0.2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1:26" x14ac:dyDescent="0.2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1:26" x14ac:dyDescent="0.2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1:26" ht="24" x14ac:dyDescent="0.2">
      <c r="K44" s="4"/>
      <c r="L44" s="13" t="s">
        <v>135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13" t="s">
        <v>164</v>
      </c>
      <c r="X44" s="4"/>
      <c r="Y44" s="4"/>
      <c r="Z44" s="4"/>
    </row>
    <row r="45" spans="11:26" x14ac:dyDescent="0.2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1:26" ht="32" x14ac:dyDescent="0.2">
      <c r="K46" s="4"/>
      <c r="L46" s="18" t="s">
        <v>116</v>
      </c>
      <c r="M46" s="18" t="s">
        <v>117</v>
      </c>
      <c r="N46" s="18" t="s">
        <v>118</v>
      </c>
      <c r="O46" s="4"/>
      <c r="P46" s="4"/>
      <c r="Q46" s="4"/>
      <c r="R46" s="4"/>
      <c r="S46" s="4"/>
      <c r="T46" s="4"/>
      <c r="U46" s="4"/>
      <c r="V46" s="4"/>
      <c r="W46" s="18" t="s">
        <v>116</v>
      </c>
      <c r="X46" s="18" t="s">
        <v>117</v>
      </c>
      <c r="Y46" s="18" t="s">
        <v>118</v>
      </c>
      <c r="Z46" s="4"/>
    </row>
    <row r="47" spans="11:26" ht="64" x14ac:dyDescent="0.2">
      <c r="K47" s="4"/>
      <c r="L47" s="19" t="s">
        <v>136</v>
      </c>
      <c r="M47" s="20" t="s">
        <v>137</v>
      </c>
      <c r="N47" s="19" t="s">
        <v>138</v>
      </c>
      <c r="O47" s="4"/>
      <c r="P47" s="4"/>
      <c r="Q47" s="4"/>
      <c r="R47" s="4"/>
      <c r="S47" s="4"/>
      <c r="T47" s="4"/>
      <c r="U47" s="4"/>
      <c r="V47" s="4"/>
      <c r="W47" s="19" t="s">
        <v>165</v>
      </c>
      <c r="X47" s="20" t="s">
        <v>166</v>
      </c>
      <c r="Y47" s="19" t="s">
        <v>167</v>
      </c>
      <c r="Z47" s="4"/>
    </row>
    <row r="48" spans="11:26" ht="64" x14ac:dyDescent="0.2">
      <c r="K48" s="4"/>
      <c r="L48" s="19" t="s">
        <v>139</v>
      </c>
      <c r="M48" s="20" t="s">
        <v>129</v>
      </c>
      <c r="N48" s="19" t="s">
        <v>140</v>
      </c>
      <c r="O48" s="4"/>
      <c r="P48" s="4"/>
      <c r="Q48" s="4"/>
      <c r="R48" s="4"/>
      <c r="S48" s="4"/>
      <c r="T48" s="4"/>
      <c r="U48" s="4"/>
      <c r="V48" s="4"/>
      <c r="W48" s="19" t="s">
        <v>168</v>
      </c>
      <c r="X48" s="20" t="s">
        <v>169</v>
      </c>
      <c r="Y48" s="19" t="s">
        <v>170</v>
      </c>
      <c r="Z48" s="4"/>
    </row>
    <row r="49" spans="11:26" ht="64" x14ac:dyDescent="0.2">
      <c r="K49" s="4"/>
      <c r="L49" s="19" t="s">
        <v>141</v>
      </c>
      <c r="M49" s="20" t="s">
        <v>142</v>
      </c>
      <c r="N49" s="19" t="s">
        <v>143</v>
      </c>
      <c r="O49" s="4"/>
      <c r="P49" s="4"/>
      <c r="Q49" s="4"/>
      <c r="R49" s="4"/>
      <c r="S49" s="4"/>
      <c r="T49" s="4"/>
      <c r="U49" s="4"/>
      <c r="V49" s="4"/>
      <c r="W49" s="19" t="s">
        <v>171</v>
      </c>
      <c r="X49" s="20" t="s">
        <v>120</v>
      </c>
      <c r="Y49" s="19" t="s">
        <v>172</v>
      </c>
      <c r="Z49" s="4"/>
    </row>
    <row r="50" spans="11:26" ht="48" x14ac:dyDescent="0.2">
      <c r="K50" s="4"/>
      <c r="L50" s="19" t="s">
        <v>144</v>
      </c>
      <c r="M50" s="20" t="s">
        <v>145</v>
      </c>
      <c r="N50" s="19" t="s">
        <v>146</v>
      </c>
      <c r="O50" s="4"/>
      <c r="P50" s="4"/>
      <c r="Q50" s="4"/>
      <c r="R50" s="4"/>
      <c r="S50" s="4"/>
      <c r="T50" s="4"/>
      <c r="U50" s="4"/>
      <c r="V50" s="4"/>
      <c r="W50" s="19" t="s">
        <v>173</v>
      </c>
      <c r="X50" s="20" t="s">
        <v>145</v>
      </c>
      <c r="Y50" s="19" t="s">
        <v>174</v>
      </c>
      <c r="Z50" s="4"/>
    </row>
    <row r="51" spans="11:26" ht="64" x14ac:dyDescent="0.2">
      <c r="K51" s="4"/>
      <c r="L51" s="19" t="s">
        <v>147</v>
      </c>
      <c r="M51" s="20" t="s">
        <v>132</v>
      </c>
      <c r="N51" s="19" t="s">
        <v>148</v>
      </c>
      <c r="O51" s="4"/>
      <c r="P51" s="4"/>
      <c r="Q51" s="4"/>
      <c r="R51" s="4"/>
      <c r="S51" s="4"/>
      <c r="T51" s="4"/>
      <c r="U51" s="4"/>
      <c r="V51" s="4"/>
      <c r="W51" s="19" t="s">
        <v>175</v>
      </c>
      <c r="X51" s="20" t="s">
        <v>132</v>
      </c>
      <c r="Y51" s="19" t="s">
        <v>176</v>
      </c>
      <c r="Z51" s="4"/>
    </row>
    <row r="52" spans="11:26" x14ac:dyDescent="0.2"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1:26" x14ac:dyDescent="0.2">
      <c r="K53" s="4"/>
      <c r="L53" s="4" t="s">
        <v>113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 t="s">
        <v>113</v>
      </c>
      <c r="X53" s="4"/>
      <c r="Y53" s="4"/>
      <c r="Z53" s="4"/>
    </row>
    <row r="54" spans="11:26" x14ac:dyDescent="0.2">
      <c r="K54" s="4"/>
      <c r="L54" s="4" t="s">
        <v>149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 t="s">
        <v>177</v>
      </c>
      <c r="X54" s="4"/>
      <c r="Y54" s="4"/>
      <c r="Z54" s="4"/>
    </row>
    <row r="55" spans="11:26" x14ac:dyDescent="0.2">
      <c r="K55" s="4"/>
      <c r="L55" s="4" t="s">
        <v>114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 t="s">
        <v>114</v>
      </c>
      <c r="X55" s="4"/>
      <c r="Y55" s="4"/>
      <c r="Z55" s="4"/>
    </row>
    <row r="56" spans="11:26" x14ac:dyDescent="0.2"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1:26" x14ac:dyDescent="0.2"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1:26" x14ac:dyDescent="0.2"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1:26" ht="19" x14ac:dyDescent="0.2">
      <c r="K59" s="4"/>
      <c r="L59" s="4"/>
      <c r="M59" s="4"/>
      <c r="N59" s="4"/>
      <c r="O59" s="4"/>
      <c r="P59" s="4"/>
      <c r="Q59" s="14" t="s">
        <v>178</v>
      </c>
      <c r="R59" s="4"/>
      <c r="S59" s="4"/>
      <c r="T59" s="4"/>
      <c r="U59" s="4"/>
      <c r="V59" s="4"/>
      <c r="W59" s="4"/>
      <c r="X59" s="4"/>
      <c r="Y59" s="4"/>
      <c r="Z59" s="4"/>
    </row>
    <row r="60" spans="11:26" x14ac:dyDescent="0.2"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1:26" x14ac:dyDescent="0.2">
      <c r="K61" s="4"/>
      <c r="L61" s="4"/>
      <c r="M61" s="4"/>
      <c r="N61" s="4"/>
      <c r="O61" s="4"/>
      <c r="P61" s="4"/>
      <c r="Q61" s="4" t="s">
        <v>179</v>
      </c>
      <c r="R61" s="4"/>
      <c r="S61" s="4"/>
      <c r="T61" s="4"/>
      <c r="U61" s="4"/>
      <c r="V61" s="4"/>
      <c r="W61" s="4"/>
      <c r="X61" s="4"/>
      <c r="Y61" s="4"/>
      <c r="Z61" s="4"/>
    </row>
    <row r="62" spans="11:26" x14ac:dyDescent="0.2"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1:26" ht="48" x14ac:dyDescent="0.2">
      <c r="K63" s="4"/>
      <c r="L63" s="4"/>
      <c r="M63" s="4"/>
      <c r="N63" s="4"/>
      <c r="O63" s="4"/>
      <c r="P63" s="4"/>
      <c r="Q63" s="18" t="s">
        <v>0</v>
      </c>
      <c r="R63" s="18" t="s">
        <v>180</v>
      </c>
      <c r="S63" s="4"/>
      <c r="T63" s="4"/>
      <c r="U63" s="4"/>
      <c r="V63" s="4"/>
      <c r="W63" s="4"/>
      <c r="X63" s="4"/>
      <c r="Y63" s="4"/>
      <c r="Z63" s="4"/>
    </row>
    <row r="64" spans="11:26" ht="16" x14ac:dyDescent="0.2">
      <c r="K64" s="4"/>
      <c r="L64" s="4"/>
      <c r="M64" s="4"/>
      <c r="N64" s="4"/>
      <c r="O64" s="4"/>
      <c r="P64" s="4"/>
      <c r="Q64" s="19" t="s">
        <v>1</v>
      </c>
      <c r="R64" s="20" t="s">
        <v>181</v>
      </c>
      <c r="S64" s="4"/>
      <c r="T64" s="4"/>
      <c r="U64" s="4"/>
      <c r="V64" s="4"/>
      <c r="W64" s="4"/>
      <c r="X64" s="4"/>
      <c r="Y64" s="4"/>
      <c r="Z64" s="4"/>
    </row>
    <row r="65" spans="11:26" ht="16" x14ac:dyDescent="0.2">
      <c r="K65" s="4"/>
      <c r="L65" s="4"/>
      <c r="M65" s="4"/>
      <c r="N65" s="4"/>
      <c r="O65" s="4"/>
      <c r="P65" s="4"/>
      <c r="Q65" s="19" t="s">
        <v>2</v>
      </c>
      <c r="R65" s="20" t="s">
        <v>182</v>
      </c>
      <c r="S65" s="4"/>
      <c r="T65" s="4"/>
      <c r="U65" s="4"/>
      <c r="V65" s="4"/>
      <c r="W65" s="4"/>
      <c r="X65" s="4"/>
      <c r="Y65" s="4"/>
      <c r="Z65" s="4"/>
    </row>
    <row r="66" spans="11:26" ht="16" x14ac:dyDescent="0.2">
      <c r="K66" s="4"/>
      <c r="L66" s="4"/>
      <c r="M66" s="4"/>
      <c r="N66" s="4"/>
      <c r="O66" s="4"/>
      <c r="P66" s="4"/>
      <c r="Q66" s="19" t="s">
        <v>3</v>
      </c>
      <c r="R66" s="20" t="s">
        <v>183</v>
      </c>
      <c r="S66" s="4"/>
      <c r="T66" s="4"/>
      <c r="U66" s="4"/>
      <c r="V66" s="4"/>
      <c r="W66" s="4"/>
      <c r="X66" s="4"/>
      <c r="Y66" s="4"/>
      <c r="Z66" s="4"/>
    </row>
    <row r="67" spans="11:26" ht="16" x14ac:dyDescent="0.2">
      <c r="K67" s="4"/>
      <c r="L67" s="4"/>
      <c r="M67" s="4"/>
      <c r="N67" s="4"/>
      <c r="O67" s="4"/>
      <c r="P67" s="4"/>
      <c r="Q67" s="19" t="s">
        <v>4</v>
      </c>
      <c r="R67" s="20" t="s">
        <v>184</v>
      </c>
      <c r="S67" s="4"/>
      <c r="T67" s="4"/>
      <c r="U67" s="4"/>
      <c r="V67" s="4"/>
      <c r="W67" s="4"/>
      <c r="X67" s="4"/>
      <c r="Y67" s="4"/>
      <c r="Z67" s="4"/>
    </row>
    <row r="68" spans="11:26" x14ac:dyDescent="0.2"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1:26" x14ac:dyDescent="0.2"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1:26" x14ac:dyDescent="0.2"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1:26" x14ac:dyDescent="0.2"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1:26" x14ac:dyDescent="0.2"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1:26" x14ac:dyDescent="0.2"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1:26" x14ac:dyDescent="0.2"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0"/>
  <sheetViews>
    <sheetView topLeftCell="B1" zoomScale="91" zoomScaleNormal="60" workbookViewId="0">
      <selection activeCell="N19" sqref="N19"/>
    </sheetView>
  </sheetViews>
  <sheetFormatPr baseColWidth="10" defaultColWidth="8.6640625" defaultRowHeight="15" x14ac:dyDescent="0.2"/>
  <cols>
    <col min="1" max="1" width="35.6640625" customWidth="1"/>
  </cols>
  <sheetData>
    <row r="1" spans="1:33" x14ac:dyDescent="0.2">
      <c r="A1" s="23" t="s">
        <v>22</v>
      </c>
      <c r="B1" s="23">
        <v>0.7</v>
      </c>
    </row>
    <row r="2" spans="1:33" ht="16" x14ac:dyDescent="0.2">
      <c r="A2" s="23" t="s">
        <v>23</v>
      </c>
      <c r="B2" s="23" t="s">
        <v>24</v>
      </c>
      <c r="C2" s="23" t="s">
        <v>25</v>
      </c>
      <c r="D2" s="23" t="s">
        <v>26</v>
      </c>
      <c r="E2" s="23" t="s">
        <v>27</v>
      </c>
      <c r="F2" s="23" t="s">
        <v>28</v>
      </c>
      <c r="G2" s="23" t="s">
        <v>29</v>
      </c>
      <c r="H2" s="23" t="s">
        <v>30</v>
      </c>
      <c r="I2" s="23" t="s">
        <v>31</v>
      </c>
      <c r="J2" s="23" t="s">
        <v>32</v>
      </c>
      <c r="K2" s="23" t="s">
        <v>33</v>
      </c>
      <c r="L2" s="23" t="s">
        <v>34</v>
      </c>
      <c r="M2" s="23" t="s">
        <v>35</v>
      </c>
      <c r="N2" s="23" t="s">
        <v>36</v>
      </c>
      <c r="Q2" s="21" t="s">
        <v>43</v>
      </c>
      <c r="R2" s="4"/>
      <c r="S2" s="4"/>
      <c r="T2" s="4"/>
      <c r="U2" s="4"/>
      <c r="V2" s="4"/>
      <c r="W2" s="4"/>
      <c r="X2" s="4"/>
      <c r="Y2" s="4"/>
      <c r="Z2" s="4"/>
      <c r="AA2" s="16" t="s">
        <v>61</v>
      </c>
      <c r="AB2" s="4"/>
      <c r="AC2" s="4"/>
      <c r="AD2" s="4"/>
      <c r="AE2" s="4"/>
      <c r="AF2" s="4"/>
      <c r="AG2" s="4"/>
    </row>
    <row r="3" spans="1:33" x14ac:dyDescent="0.2">
      <c r="A3" s="23" t="s">
        <v>5</v>
      </c>
      <c r="B3" s="23">
        <v>0.8</v>
      </c>
      <c r="C3" s="23">
        <v>0.2</v>
      </c>
      <c r="D3" s="23">
        <v>0.3</v>
      </c>
      <c r="E3" s="23">
        <v>0.9</v>
      </c>
      <c r="F3" s="23">
        <v>0.8</v>
      </c>
      <c r="G3" s="23">
        <v>0.9</v>
      </c>
      <c r="H3" s="23">
        <v>0.1</v>
      </c>
      <c r="I3" s="23">
        <v>0.4</v>
      </c>
      <c r="J3" s="23">
        <v>0.7</v>
      </c>
      <c r="K3" s="23">
        <f t="shared" ref="K3:K12" si="0">$B$1*B3 + (1-$B$1)*F3*G3</f>
        <v>0.77600000000000002</v>
      </c>
      <c r="L3" s="23">
        <f t="shared" ref="L3:L12" si="1">$B$1*C3 + (1-$B$1)*F3*H3</f>
        <v>0.16399999999999998</v>
      </c>
      <c r="M3" s="23">
        <f t="shared" ref="M3:M12" si="2">$B$1*D3 + (1-$B$1)*F3*I3</f>
        <v>0.30600000000000005</v>
      </c>
      <c r="N3" s="23">
        <f>$B$1*E3 + (1-$B$1)*F3*J3</f>
        <v>0.79800000000000004</v>
      </c>
      <c r="Q3" s="7"/>
      <c r="R3" s="4"/>
      <c r="S3" s="4"/>
      <c r="T3" s="4"/>
      <c r="U3" s="4"/>
      <c r="V3" s="4"/>
      <c r="W3" s="4"/>
      <c r="X3" s="4"/>
      <c r="Y3" s="4"/>
      <c r="Z3" s="4"/>
      <c r="AA3" s="7"/>
      <c r="AB3" s="4"/>
      <c r="AC3" s="4"/>
      <c r="AD3" s="4"/>
      <c r="AE3" s="4"/>
      <c r="AF3" s="4"/>
      <c r="AG3" s="4"/>
    </row>
    <row r="4" spans="1:33" s="34" customFormat="1" x14ac:dyDescent="0.2">
      <c r="A4" s="33" t="s">
        <v>6</v>
      </c>
      <c r="B4" s="33">
        <v>0.6</v>
      </c>
      <c r="C4" s="33">
        <v>0.2</v>
      </c>
      <c r="D4" s="33">
        <v>0.9</v>
      </c>
      <c r="E4" s="33">
        <v>0.8</v>
      </c>
      <c r="F4" s="33">
        <v>0.85</v>
      </c>
      <c r="G4" s="33">
        <v>0.6</v>
      </c>
      <c r="H4" s="33">
        <v>0.4</v>
      </c>
      <c r="I4" s="33">
        <v>0.9</v>
      </c>
      <c r="J4" s="33">
        <v>0.9</v>
      </c>
      <c r="K4" s="33">
        <f t="shared" si="0"/>
        <v>0.57299999999999995</v>
      </c>
      <c r="L4" s="33">
        <f t="shared" si="1"/>
        <v>0.24199999999999999</v>
      </c>
      <c r="M4" s="33">
        <f t="shared" si="2"/>
        <v>0.85950000000000004</v>
      </c>
      <c r="N4" s="33">
        <f t="shared" ref="N4:N12" si="3">$B$1*E4 + (1-$B$1)*F4*J4</f>
        <v>0.78949999999999998</v>
      </c>
      <c r="Q4" s="35" t="s">
        <v>44</v>
      </c>
      <c r="R4" s="36"/>
      <c r="S4" s="36"/>
      <c r="T4" s="36"/>
      <c r="U4" s="36"/>
      <c r="V4" s="36"/>
      <c r="W4" s="36"/>
      <c r="X4" s="36"/>
      <c r="Y4" s="36"/>
      <c r="Z4" s="36"/>
      <c r="AA4" s="37" t="s">
        <v>62</v>
      </c>
      <c r="AB4" s="36"/>
      <c r="AC4" s="36"/>
      <c r="AD4" s="36"/>
      <c r="AE4" s="36"/>
      <c r="AF4" s="36"/>
      <c r="AG4" s="36"/>
    </row>
    <row r="5" spans="1:33" x14ac:dyDescent="0.2">
      <c r="A5" s="23" t="s">
        <v>7</v>
      </c>
      <c r="B5" s="23">
        <v>0.4</v>
      </c>
      <c r="C5" s="23">
        <v>0.1</v>
      </c>
      <c r="D5" s="23">
        <v>0.4</v>
      </c>
      <c r="E5" s="23">
        <v>0.9</v>
      </c>
      <c r="F5" s="23">
        <v>0.4</v>
      </c>
      <c r="G5" s="23">
        <v>0.3</v>
      </c>
      <c r="H5" s="23">
        <v>0.1</v>
      </c>
      <c r="I5" s="23">
        <v>0.5</v>
      </c>
      <c r="J5" s="23">
        <v>0.95</v>
      </c>
      <c r="K5" s="23">
        <f t="shared" si="0"/>
        <v>0.31599999999999995</v>
      </c>
      <c r="L5" s="23">
        <f t="shared" si="1"/>
        <v>8.199999999999999E-2</v>
      </c>
      <c r="M5" s="23">
        <f t="shared" si="2"/>
        <v>0.33999999999999997</v>
      </c>
      <c r="N5" s="23">
        <f t="shared" si="3"/>
        <v>0.74399999999999999</v>
      </c>
      <c r="Q5" s="10" t="s">
        <v>45</v>
      </c>
      <c r="R5" s="4"/>
      <c r="S5" s="4"/>
      <c r="T5" s="4"/>
      <c r="U5" s="4"/>
      <c r="V5" s="4"/>
      <c r="W5" s="4"/>
      <c r="X5" s="4"/>
      <c r="Y5" s="4"/>
      <c r="Z5" s="4"/>
      <c r="AA5" s="12" t="s">
        <v>63</v>
      </c>
      <c r="AB5" s="4"/>
      <c r="AC5" s="4"/>
      <c r="AD5" s="4"/>
      <c r="AE5" s="4"/>
      <c r="AF5" s="4"/>
      <c r="AG5" s="4"/>
    </row>
    <row r="6" spans="1:33" x14ac:dyDescent="0.2">
      <c r="A6" s="23" t="s">
        <v>8</v>
      </c>
      <c r="B6" s="23">
        <v>0.9</v>
      </c>
      <c r="C6" s="23">
        <v>0.3</v>
      </c>
      <c r="D6" s="23">
        <v>0.8</v>
      </c>
      <c r="E6" s="23">
        <v>0.6</v>
      </c>
      <c r="F6" s="23">
        <v>0.75</v>
      </c>
      <c r="G6" s="23">
        <v>0.8</v>
      </c>
      <c r="H6" s="23">
        <v>0.4</v>
      </c>
      <c r="I6" s="23">
        <v>0.8</v>
      </c>
      <c r="J6" s="23">
        <v>0.7</v>
      </c>
      <c r="K6" s="23">
        <f t="shared" si="0"/>
        <v>0.81</v>
      </c>
      <c r="L6" s="23">
        <f t="shared" si="1"/>
        <v>0.30000000000000004</v>
      </c>
      <c r="M6" s="23">
        <f t="shared" si="2"/>
        <v>0.74</v>
      </c>
      <c r="N6" s="23">
        <f t="shared" si="3"/>
        <v>0.57750000000000001</v>
      </c>
      <c r="Q6" s="7"/>
      <c r="R6" s="4"/>
      <c r="S6" s="4"/>
      <c r="T6" s="4"/>
      <c r="U6" s="4"/>
      <c r="V6" s="4"/>
      <c r="W6" s="4"/>
      <c r="X6" s="4"/>
      <c r="Y6" s="4"/>
      <c r="Z6" s="4"/>
      <c r="AA6" s="12" t="s">
        <v>64</v>
      </c>
      <c r="AB6" s="4"/>
      <c r="AC6" s="4"/>
      <c r="AD6" s="4"/>
      <c r="AE6" s="4"/>
      <c r="AF6" s="4"/>
      <c r="AG6" s="4"/>
    </row>
    <row r="7" spans="1:33" x14ac:dyDescent="0.2">
      <c r="A7" s="23" t="s">
        <v>9</v>
      </c>
      <c r="B7" s="23">
        <v>0.5</v>
      </c>
      <c r="C7" s="23">
        <v>0.2</v>
      </c>
      <c r="D7" s="23">
        <v>0.6</v>
      </c>
      <c r="E7" s="23">
        <v>0.5</v>
      </c>
      <c r="F7" s="23">
        <v>0.9</v>
      </c>
      <c r="G7" s="23">
        <v>0.6</v>
      </c>
      <c r="H7" s="23">
        <v>0.3</v>
      </c>
      <c r="I7" s="23">
        <v>0.7</v>
      </c>
      <c r="J7" s="23">
        <v>0.6</v>
      </c>
      <c r="K7" s="23">
        <f t="shared" si="0"/>
        <v>0.51200000000000001</v>
      </c>
      <c r="L7" s="23">
        <f t="shared" si="1"/>
        <v>0.221</v>
      </c>
      <c r="M7" s="23">
        <f t="shared" si="2"/>
        <v>0.60899999999999999</v>
      </c>
      <c r="N7" s="23">
        <f t="shared" si="3"/>
        <v>0.51200000000000001</v>
      </c>
      <c r="Q7" s="9" t="s">
        <v>42</v>
      </c>
      <c r="R7" s="4"/>
      <c r="S7" s="4"/>
      <c r="T7" s="4"/>
      <c r="U7" s="4"/>
      <c r="V7" s="4"/>
      <c r="W7" s="4"/>
      <c r="X7" s="4"/>
      <c r="Y7" s="4"/>
      <c r="Z7" s="4"/>
      <c r="AA7" s="8"/>
      <c r="AB7" s="4"/>
      <c r="AC7" s="4"/>
      <c r="AD7" s="4"/>
      <c r="AE7" s="4"/>
      <c r="AF7" s="4"/>
      <c r="AG7" s="4"/>
    </row>
    <row r="8" spans="1:33" x14ac:dyDescent="0.2">
      <c r="A8" s="23" t="s">
        <v>10</v>
      </c>
      <c r="B8" s="23">
        <v>0.95</v>
      </c>
      <c r="C8" s="23">
        <v>0.8</v>
      </c>
      <c r="D8" s="23">
        <v>0.4</v>
      </c>
      <c r="E8" s="23">
        <v>0.6</v>
      </c>
      <c r="F8" s="23">
        <v>0.9</v>
      </c>
      <c r="G8" s="23">
        <v>0.98</v>
      </c>
      <c r="H8" s="23">
        <v>0.9</v>
      </c>
      <c r="I8" s="23">
        <v>0.5</v>
      </c>
      <c r="J8" s="23">
        <v>0.2</v>
      </c>
      <c r="K8" s="23">
        <f t="shared" si="0"/>
        <v>0.92959999999999998</v>
      </c>
      <c r="L8" s="23">
        <f t="shared" si="1"/>
        <v>0.80300000000000005</v>
      </c>
      <c r="M8" s="23">
        <f t="shared" si="2"/>
        <v>0.41500000000000004</v>
      </c>
      <c r="N8" s="23">
        <f t="shared" si="3"/>
        <v>0.47399999999999998</v>
      </c>
      <c r="Q8" s="11" t="s">
        <v>46</v>
      </c>
      <c r="R8" s="4"/>
      <c r="S8" s="4"/>
      <c r="T8" s="4"/>
      <c r="U8" s="4"/>
      <c r="V8" s="4"/>
      <c r="W8" s="4"/>
      <c r="X8" s="4"/>
      <c r="Y8" s="4"/>
      <c r="Z8" s="4"/>
      <c r="AA8" s="6" t="s">
        <v>65</v>
      </c>
      <c r="AB8" s="4"/>
      <c r="AC8" s="4"/>
      <c r="AD8" s="4"/>
      <c r="AE8" s="4"/>
      <c r="AF8" s="4"/>
      <c r="AG8" s="4"/>
    </row>
    <row r="9" spans="1:33" x14ac:dyDescent="0.2">
      <c r="A9" s="23" t="s">
        <v>11</v>
      </c>
      <c r="B9" s="23">
        <v>0.6</v>
      </c>
      <c r="C9" s="23">
        <v>0.2</v>
      </c>
      <c r="D9" s="23">
        <v>0.5</v>
      </c>
      <c r="E9" s="23">
        <v>0.4</v>
      </c>
      <c r="F9" s="23">
        <v>0.7</v>
      </c>
      <c r="G9" s="23">
        <v>0.7</v>
      </c>
      <c r="H9" s="23">
        <v>0.3</v>
      </c>
      <c r="I9" s="23">
        <v>0.6</v>
      </c>
      <c r="J9" s="23">
        <v>0.5</v>
      </c>
      <c r="K9" s="23">
        <f t="shared" si="0"/>
        <v>0.56699999999999995</v>
      </c>
      <c r="L9" s="23">
        <f t="shared" si="1"/>
        <v>0.20299999999999999</v>
      </c>
      <c r="M9" s="23">
        <f t="shared" si="2"/>
        <v>0.47599999999999998</v>
      </c>
      <c r="N9" s="23">
        <f t="shared" si="3"/>
        <v>0.38500000000000001</v>
      </c>
      <c r="Q9" s="11" t="s">
        <v>47</v>
      </c>
      <c r="R9" s="4"/>
      <c r="S9" s="4"/>
      <c r="T9" s="4"/>
      <c r="U9" s="4"/>
      <c r="V9" s="4"/>
      <c r="W9" s="4"/>
      <c r="X9" s="4"/>
      <c r="Y9" s="4"/>
      <c r="Z9" s="4"/>
      <c r="AA9" s="7"/>
      <c r="AB9" s="4"/>
      <c r="AC9" s="4"/>
      <c r="AD9" s="4"/>
      <c r="AE9" s="4"/>
      <c r="AF9" s="4"/>
      <c r="AG9" s="4"/>
    </row>
    <row r="10" spans="1:33" x14ac:dyDescent="0.2">
      <c r="A10" s="23" t="s">
        <v>12</v>
      </c>
      <c r="B10" s="23">
        <v>0.7</v>
      </c>
      <c r="C10" s="23">
        <v>0.95</v>
      </c>
      <c r="D10" s="23">
        <v>0.3</v>
      </c>
      <c r="E10" s="23">
        <v>0.2</v>
      </c>
      <c r="F10" s="23">
        <v>0</v>
      </c>
      <c r="G10" s="23">
        <v>0.5</v>
      </c>
      <c r="H10" s="23">
        <v>0.5</v>
      </c>
      <c r="I10" s="23">
        <v>0.5</v>
      </c>
      <c r="J10" s="23">
        <v>0.6</v>
      </c>
      <c r="K10" s="23">
        <f t="shared" si="0"/>
        <v>0.48999999999999994</v>
      </c>
      <c r="L10" s="23">
        <f t="shared" si="1"/>
        <v>0.66499999999999992</v>
      </c>
      <c r="M10" s="23">
        <f t="shared" si="2"/>
        <v>0.21</v>
      </c>
      <c r="N10" s="23">
        <f t="shared" si="3"/>
        <v>0.13999999999999999</v>
      </c>
      <c r="Q10" s="11" t="s">
        <v>48</v>
      </c>
      <c r="R10" s="4"/>
      <c r="S10" s="4"/>
      <c r="T10" s="4"/>
      <c r="U10" s="4"/>
      <c r="V10" s="4"/>
      <c r="W10" s="4"/>
      <c r="X10" s="4"/>
      <c r="Y10" s="4"/>
      <c r="Z10" s="4"/>
      <c r="AA10" s="9" t="s">
        <v>66</v>
      </c>
      <c r="AB10" s="4"/>
      <c r="AC10" s="4"/>
      <c r="AD10" s="4"/>
      <c r="AE10" s="4"/>
      <c r="AF10" s="4"/>
      <c r="AG10" s="4"/>
    </row>
    <row r="11" spans="1:33" x14ac:dyDescent="0.2">
      <c r="A11" s="23" t="s">
        <v>13</v>
      </c>
      <c r="B11" s="23">
        <v>0.1</v>
      </c>
      <c r="C11" s="23">
        <v>1</v>
      </c>
      <c r="D11" s="23">
        <v>0.7</v>
      </c>
      <c r="E11" s="23">
        <v>0.2</v>
      </c>
      <c r="F11" s="23">
        <v>0.6</v>
      </c>
      <c r="G11" s="23">
        <v>0.1</v>
      </c>
      <c r="H11" s="23">
        <v>1</v>
      </c>
      <c r="I11" s="23">
        <v>0.8</v>
      </c>
      <c r="J11" s="23">
        <v>0.7</v>
      </c>
      <c r="K11" s="23">
        <f t="shared" si="0"/>
        <v>8.7999999999999995E-2</v>
      </c>
      <c r="L11" s="23">
        <f t="shared" si="1"/>
        <v>0.88</v>
      </c>
      <c r="M11" s="23">
        <f t="shared" si="2"/>
        <v>0.6339999999999999</v>
      </c>
      <c r="N11" s="23">
        <f t="shared" si="3"/>
        <v>0.26600000000000001</v>
      </c>
      <c r="Q11" s="8"/>
      <c r="R11" s="4"/>
      <c r="S11" s="4"/>
      <c r="T11" s="4"/>
      <c r="U11" s="4"/>
      <c r="V11" s="4"/>
      <c r="W11" s="4"/>
      <c r="X11" s="4"/>
      <c r="Y11" s="4"/>
      <c r="Z11" s="4"/>
      <c r="AA11" s="9" t="s">
        <v>67</v>
      </c>
      <c r="AB11" s="4"/>
      <c r="AC11" s="4"/>
      <c r="AD11" s="4"/>
      <c r="AE11" s="4"/>
      <c r="AF11" s="4"/>
      <c r="AG11" s="4"/>
    </row>
    <row r="12" spans="1:33" x14ac:dyDescent="0.2">
      <c r="A12" s="23" t="s">
        <v>14</v>
      </c>
      <c r="B12" s="23">
        <v>0.7</v>
      </c>
      <c r="C12" s="23">
        <v>0.3</v>
      </c>
      <c r="D12" s="23">
        <v>0.6</v>
      </c>
      <c r="E12" s="23">
        <v>0.8</v>
      </c>
      <c r="F12" s="23">
        <v>0.7</v>
      </c>
      <c r="G12" s="23">
        <v>0.8</v>
      </c>
      <c r="H12" s="23">
        <v>0.4</v>
      </c>
      <c r="I12" s="23">
        <v>0.7</v>
      </c>
      <c r="J12" s="23">
        <v>0.9</v>
      </c>
      <c r="K12" s="23">
        <f t="shared" si="0"/>
        <v>0.65799999999999992</v>
      </c>
      <c r="L12" s="23">
        <f t="shared" si="1"/>
        <v>0.29400000000000004</v>
      </c>
      <c r="M12" s="23">
        <f t="shared" si="2"/>
        <v>0.56699999999999995</v>
      </c>
      <c r="N12" s="23">
        <f t="shared" si="3"/>
        <v>0.749</v>
      </c>
      <c r="Q12" s="21" t="s">
        <v>49</v>
      </c>
      <c r="R12" s="4"/>
      <c r="S12" s="4"/>
      <c r="T12" s="4"/>
      <c r="U12" s="4"/>
      <c r="V12" s="4"/>
      <c r="W12" s="4"/>
      <c r="X12" s="4"/>
      <c r="Y12" s="4"/>
      <c r="Z12" s="4"/>
      <c r="AA12" s="8"/>
      <c r="AB12" s="4"/>
      <c r="AC12" s="4"/>
      <c r="AD12" s="4"/>
      <c r="AE12" s="4"/>
      <c r="AF12" s="4"/>
      <c r="AG12" s="4"/>
    </row>
    <row r="13" spans="1:33" x14ac:dyDescent="0.2">
      <c r="Q13" s="7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">
      <c r="Q14" s="9" t="s">
        <v>50</v>
      </c>
      <c r="R14" s="4"/>
      <c r="S14" s="4"/>
      <c r="T14" s="4"/>
      <c r="U14" s="4"/>
      <c r="V14" s="4"/>
      <c r="W14" s="4"/>
      <c r="X14" s="4"/>
      <c r="Y14" s="4"/>
      <c r="Z14" s="4"/>
      <c r="AA14" s="8"/>
      <c r="AB14" s="4"/>
      <c r="AC14" s="4"/>
      <c r="AD14" s="4"/>
      <c r="AE14" s="4"/>
      <c r="AF14" s="4"/>
      <c r="AG14" s="4"/>
    </row>
    <row r="15" spans="1:33" ht="21" x14ac:dyDescent="0.2">
      <c r="Q15" s="10" t="s">
        <v>51</v>
      </c>
      <c r="R15" s="4"/>
      <c r="S15" s="4"/>
      <c r="T15" s="4"/>
      <c r="U15" s="4"/>
      <c r="V15" s="4"/>
      <c r="W15" s="4"/>
      <c r="X15" s="4"/>
      <c r="Y15" s="4"/>
      <c r="Z15" s="4"/>
      <c r="AA15" s="22" t="s">
        <v>357</v>
      </c>
      <c r="AB15" s="4"/>
      <c r="AC15" s="4"/>
      <c r="AD15" s="4"/>
      <c r="AE15" s="4"/>
      <c r="AF15" s="4"/>
      <c r="AG15" s="4"/>
    </row>
    <row r="16" spans="1:33" x14ac:dyDescent="0.2">
      <c r="Q16" s="7"/>
      <c r="R16" s="4"/>
      <c r="S16" s="4"/>
      <c r="T16" s="4"/>
      <c r="U16" s="4"/>
      <c r="V16" s="4"/>
      <c r="W16" s="4"/>
      <c r="X16" s="4"/>
      <c r="Y16" s="4"/>
      <c r="Z16" s="4"/>
      <c r="AA16" s="8"/>
      <c r="AB16" s="4"/>
      <c r="AC16" s="4"/>
      <c r="AD16" s="4"/>
      <c r="AE16" s="4"/>
      <c r="AF16" s="4"/>
      <c r="AG16" s="4"/>
    </row>
    <row r="17" spans="17:33" x14ac:dyDescent="0.2">
      <c r="Q17" s="9" t="s">
        <v>42</v>
      </c>
      <c r="R17" s="4"/>
      <c r="S17" s="4"/>
      <c r="T17" s="4"/>
      <c r="U17" s="4"/>
      <c r="V17" s="4"/>
      <c r="W17" s="4"/>
      <c r="X17" s="4"/>
      <c r="Y17" s="4"/>
      <c r="Z17" s="4"/>
      <c r="AA17" s="6" t="s">
        <v>68</v>
      </c>
      <c r="AB17" s="4"/>
      <c r="AC17" s="4"/>
      <c r="AD17" s="4"/>
      <c r="AE17" s="4"/>
      <c r="AF17" s="4"/>
      <c r="AG17" s="4"/>
    </row>
    <row r="18" spans="17:33" x14ac:dyDescent="0.2">
      <c r="Q18" s="11" t="s">
        <v>52</v>
      </c>
      <c r="R18" s="4"/>
      <c r="S18" s="4"/>
      <c r="T18" s="4"/>
      <c r="U18" s="4"/>
      <c r="V18" s="4"/>
      <c r="W18" s="4"/>
      <c r="X18" s="4"/>
      <c r="Y18" s="4"/>
      <c r="Z18" s="4"/>
      <c r="AA18" s="7"/>
      <c r="AB18" s="4"/>
      <c r="AC18" s="4"/>
      <c r="AD18" s="4"/>
      <c r="AE18" s="4"/>
      <c r="AF18" s="4"/>
      <c r="AG18" s="4"/>
    </row>
    <row r="19" spans="17:33" x14ac:dyDescent="0.2">
      <c r="Q19" s="11" t="s">
        <v>53</v>
      </c>
      <c r="R19" s="4"/>
      <c r="S19" s="4"/>
      <c r="T19" s="4"/>
      <c r="U19" s="4"/>
      <c r="V19" s="4"/>
      <c r="W19" s="4"/>
      <c r="X19" s="4"/>
      <c r="Y19" s="4"/>
      <c r="Z19" s="4"/>
      <c r="AA19" s="9" t="s">
        <v>69</v>
      </c>
      <c r="AB19" s="4"/>
      <c r="AC19" s="4"/>
      <c r="AD19" s="4"/>
      <c r="AE19" s="4"/>
      <c r="AF19" s="4"/>
      <c r="AG19" s="4"/>
    </row>
    <row r="20" spans="17:33" x14ac:dyDescent="0.2">
      <c r="Q20" s="11" t="s">
        <v>54</v>
      </c>
      <c r="R20" s="4"/>
      <c r="S20" s="4"/>
      <c r="T20" s="4"/>
      <c r="U20" s="4"/>
      <c r="V20" s="4"/>
      <c r="W20" s="4"/>
      <c r="X20" s="4"/>
      <c r="Y20" s="4"/>
      <c r="Z20" s="4"/>
      <c r="AA20" s="10"/>
      <c r="AB20" s="4"/>
      <c r="AC20" s="4"/>
      <c r="AD20" s="4"/>
      <c r="AE20" s="4"/>
      <c r="AF20" s="4"/>
      <c r="AG20" s="4"/>
    </row>
    <row r="21" spans="17:33" x14ac:dyDescent="0.2">
      <c r="Q21" s="8"/>
      <c r="R21" s="4"/>
      <c r="S21" s="4"/>
      <c r="T21" s="4"/>
      <c r="U21" s="4"/>
      <c r="V21" s="4"/>
      <c r="W21" s="4"/>
      <c r="X21" s="4"/>
      <c r="Y21" s="4"/>
      <c r="Z21" s="4"/>
      <c r="AA21" s="11" t="s">
        <v>70</v>
      </c>
      <c r="AB21" s="4"/>
      <c r="AC21" s="4"/>
      <c r="AD21" s="4"/>
      <c r="AE21" s="4"/>
      <c r="AF21" s="4"/>
      <c r="AG21" s="4"/>
    </row>
    <row r="22" spans="17:33" x14ac:dyDescent="0.2">
      <c r="Q22" s="21" t="s">
        <v>55</v>
      </c>
      <c r="R22" s="4"/>
      <c r="S22" s="4"/>
      <c r="T22" s="4"/>
      <c r="U22" s="4"/>
      <c r="V22" s="4"/>
      <c r="W22" s="4"/>
      <c r="X22" s="4"/>
      <c r="Y22" s="4"/>
      <c r="Z22" s="4"/>
      <c r="AA22" s="11" t="s">
        <v>71</v>
      </c>
      <c r="AB22" s="4"/>
      <c r="AC22" s="4"/>
      <c r="AD22" s="4"/>
      <c r="AE22" s="4"/>
      <c r="AF22" s="4"/>
      <c r="AG22" s="4"/>
    </row>
    <row r="23" spans="17:33" x14ac:dyDescent="0.2">
      <c r="Q23" s="7"/>
      <c r="R23" s="4"/>
      <c r="S23" s="4"/>
      <c r="T23" s="4"/>
      <c r="U23" s="4"/>
      <c r="V23" s="4"/>
      <c r="W23" s="4"/>
      <c r="X23" s="4"/>
      <c r="Y23" s="4"/>
      <c r="Z23" s="4"/>
      <c r="AA23" s="9" t="s">
        <v>72</v>
      </c>
      <c r="AB23" s="4"/>
      <c r="AC23" s="4"/>
      <c r="AD23" s="4"/>
      <c r="AE23" s="4"/>
      <c r="AF23" s="4"/>
      <c r="AG23" s="4"/>
    </row>
    <row r="24" spans="17:33" x14ac:dyDescent="0.2">
      <c r="Q24" s="9" t="s">
        <v>56</v>
      </c>
      <c r="R24" s="4"/>
      <c r="S24" s="4"/>
      <c r="T24" s="4"/>
      <c r="U24" s="4"/>
      <c r="V24" s="4"/>
      <c r="W24" s="4"/>
      <c r="X24" s="4"/>
      <c r="Y24" s="4"/>
      <c r="Z24" s="4"/>
      <c r="AA24" s="10"/>
      <c r="AB24" s="4"/>
      <c r="AC24" s="4"/>
      <c r="AD24" s="4"/>
      <c r="AE24" s="4"/>
      <c r="AF24" s="4"/>
      <c r="AG24" s="4"/>
    </row>
    <row r="25" spans="17:33" x14ac:dyDescent="0.2">
      <c r="Q25" s="10" t="s">
        <v>57</v>
      </c>
      <c r="R25" s="4"/>
      <c r="S25" s="4"/>
      <c r="T25" s="4"/>
      <c r="U25" s="4"/>
      <c r="V25" s="4"/>
      <c r="W25" s="4"/>
      <c r="X25" s="4"/>
      <c r="Y25" s="4"/>
      <c r="Z25" s="4"/>
      <c r="AA25" s="11" t="s">
        <v>73</v>
      </c>
      <c r="AB25" s="4"/>
      <c r="AC25" s="4"/>
      <c r="AD25" s="4"/>
      <c r="AE25" s="4"/>
      <c r="AF25" s="4"/>
      <c r="AG25" s="4"/>
    </row>
    <row r="26" spans="17:33" x14ac:dyDescent="0.2">
      <c r="Q26" s="7"/>
      <c r="R26" s="4"/>
      <c r="S26" s="4"/>
      <c r="T26" s="4"/>
      <c r="U26" s="4"/>
      <c r="V26" s="4"/>
      <c r="W26" s="4"/>
      <c r="X26" s="4"/>
      <c r="Y26" s="4"/>
      <c r="Z26" s="4"/>
      <c r="AA26" s="11" t="s">
        <v>74</v>
      </c>
      <c r="AB26" s="4"/>
      <c r="AC26" s="4"/>
      <c r="AD26" s="4"/>
      <c r="AE26" s="4"/>
      <c r="AF26" s="4"/>
      <c r="AG26" s="4"/>
    </row>
    <row r="27" spans="17:33" x14ac:dyDescent="0.2">
      <c r="Q27" s="9" t="s">
        <v>42</v>
      </c>
      <c r="R27" s="4"/>
      <c r="S27" s="4"/>
      <c r="T27" s="4"/>
      <c r="U27" s="4"/>
      <c r="V27" s="4"/>
      <c r="W27" s="4"/>
      <c r="X27" s="4"/>
      <c r="Y27" s="4"/>
      <c r="Z27" s="4"/>
      <c r="AA27" s="9" t="s">
        <v>75</v>
      </c>
      <c r="AB27" s="4"/>
      <c r="AC27" s="4"/>
      <c r="AD27" s="4"/>
      <c r="AE27" s="4"/>
      <c r="AF27" s="4"/>
      <c r="AG27" s="4"/>
    </row>
    <row r="28" spans="17:33" x14ac:dyDescent="0.2">
      <c r="Q28" s="11" t="s">
        <v>58</v>
      </c>
      <c r="R28" s="4"/>
      <c r="S28" s="4"/>
      <c r="T28" s="4"/>
      <c r="U28" s="4"/>
      <c r="V28" s="4"/>
      <c r="W28" s="4"/>
      <c r="X28" s="4"/>
      <c r="Y28" s="4"/>
      <c r="Z28" s="4"/>
      <c r="AA28" s="10"/>
      <c r="AB28" s="4"/>
      <c r="AC28" s="4"/>
      <c r="AD28" s="4"/>
      <c r="AE28" s="4"/>
      <c r="AF28" s="4"/>
      <c r="AG28" s="4"/>
    </row>
    <row r="29" spans="17:33" x14ac:dyDescent="0.2">
      <c r="Q29" s="11" t="s">
        <v>59</v>
      </c>
      <c r="R29" s="4"/>
      <c r="S29" s="4"/>
      <c r="T29" s="4"/>
      <c r="U29" s="4"/>
      <c r="V29" s="4"/>
      <c r="W29" s="4"/>
      <c r="X29" s="4"/>
      <c r="Y29" s="4"/>
      <c r="Z29" s="4"/>
      <c r="AA29" s="11" t="s">
        <v>76</v>
      </c>
      <c r="AB29" s="4"/>
      <c r="AC29" s="4"/>
      <c r="AD29" s="4"/>
      <c r="AE29" s="4"/>
      <c r="AF29" s="4"/>
      <c r="AG29" s="4"/>
    </row>
    <row r="30" spans="17:33" x14ac:dyDescent="0.2">
      <c r="Q30" s="11" t="s">
        <v>60</v>
      </c>
      <c r="R30" s="4"/>
      <c r="S30" s="4"/>
      <c r="T30" s="4"/>
      <c r="U30" s="4"/>
      <c r="V30" s="4"/>
      <c r="W30" s="4"/>
      <c r="X30" s="4"/>
      <c r="Y30" s="4"/>
      <c r="Z30" s="4"/>
      <c r="AA30" s="11" t="s">
        <v>77</v>
      </c>
      <c r="AB30" s="4"/>
      <c r="AC30" s="4"/>
      <c r="AD30" s="4"/>
      <c r="AE30" s="4"/>
      <c r="AF30" s="4"/>
      <c r="AG30" s="4"/>
    </row>
    <row r="31" spans="17:33" x14ac:dyDescent="0.2"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7:33" x14ac:dyDescent="0.2"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7:33" x14ac:dyDescent="0.2"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7:33" ht="24" x14ac:dyDescent="0.2">
      <c r="Q34" s="13" t="s">
        <v>185</v>
      </c>
      <c r="R34" s="4"/>
      <c r="S34" s="4"/>
      <c r="T34" s="4"/>
      <c r="U34" s="4"/>
      <c r="V34" s="4"/>
      <c r="W34" s="4"/>
      <c r="X34" s="4"/>
      <c r="Y34" s="4"/>
      <c r="Z34" s="4"/>
      <c r="AA34" s="13" t="s">
        <v>230</v>
      </c>
      <c r="AB34" s="4"/>
      <c r="AC34" s="4"/>
      <c r="AD34" s="4"/>
      <c r="AE34" s="4"/>
      <c r="AF34" s="4"/>
      <c r="AG34" s="4"/>
    </row>
    <row r="35" spans="17:33" x14ac:dyDescent="0.2"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7:33" ht="32" x14ac:dyDescent="0.2">
      <c r="Q36" s="18" t="s">
        <v>116</v>
      </c>
      <c r="R36" s="18" t="s">
        <v>117</v>
      </c>
      <c r="S36" s="18" t="s">
        <v>118</v>
      </c>
      <c r="T36" s="4"/>
      <c r="U36" s="4"/>
      <c r="V36" s="4"/>
      <c r="W36" s="4"/>
      <c r="X36" s="4"/>
      <c r="Y36" s="4"/>
      <c r="Z36" s="4"/>
      <c r="AA36" s="18" t="s">
        <v>116</v>
      </c>
      <c r="AB36" s="18" t="s">
        <v>117</v>
      </c>
      <c r="AC36" s="18" t="s">
        <v>118</v>
      </c>
      <c r="AD36" s="4"/>
      <c r="AE36" s="4"/>
      <c r="AF36" s="4"/>
      <c r="AG36" s="4"/>
    </row>
    <row r="37" spans="17:33" ht="128" x14ac:dyDescent="0.2">
      <c r="Q37" s="19" t="s">
        <v>186</v>
      </c>
      <c r="R37" s="20" t="s">
        <v>126</v>
      </c>
      <c r="S37" s="19" t="s">
        <v>187</v>
      </c>
      <c r="T37" s="4"/>
      <c r="U37" s="4"/>
      <c r="V37" s="4"/>
      <c r="W37" s="4"/>
      <c r="X37" s="4"/>
      <c r="Y37" s="4"/>
      <c r="Z37" s="4"/>
      <c r="AA37" s="19" t="s">
        <v>201</v>
      </c>
      <c r="AB37" s="20" t="s">
        <v>123</v>
      </c>
      <c r="AC37" s="19" t="s">
        <v>231</v>
      </c>
      <c r="AD37" s="4"/>
      <c r="AE37" s="4"/>
      <c r="AF37" s="4"/>
      <c r="AG37" s="4"/>
    </row>
    <row r="38" spans="17:33" ht="80" x14ac:dyDescent="0.2">
      <c r="Q38" s="19" t="s">
        <v>188</v>
      </c>
      <c r="R38" s="20" t="s">
        <v>189</v>
      </c>
      <c r="S38" s="19" t="s">
        <v>190</v>
      </c>
      <c r="T38" s="4"/>
      <c r="U38" s="4"/>
      <c r="V38" s="4"/>
      <c r="W38" s="4"/>
      <c r="X38" s="4"/>
      <c r="Y38" s="4"/>
      <c r="Z38" s="4"/>
      <c r="AA38" s="19" t="s">
        <v>207</v>
      </c>
      <c r="AB38" s="20" t="s">
        <v>169</v>
      </c>
      <c r="AC38" s="19" t="s">
        <v>232</v>
      </c>
      <c r="AD38" s="4"/>
      <c r="AE38" s="4"/>
      <c r="AF38" s="4"/>
      <c r="AG38" s="4"/>
    </row>
    <row r="39" spans="17:33" ht="80" x14ac:dyDescent="0.2">
      <c r="Q39" s="19" t="s">
        <v>191</v>
      </c>
      <c r="R39" s="20" t="s">
        <v>192</v>
      </c>
      <c r="S39" s="19" t="s">
        <v>193</v>
      </c>
      <c r="T39" s="4"/>
      <c r="U39" s="4"/>
      <c r="V39" s="4"/>
      <c r="W39" s="4"/>
      <c r="X39" s="4"/>
      <c r="Y39" s="4"/>
      <c r="Z39" s="4"/>
      <c r="AA39" s="19" t="s">
        <v>210</v>
      </c>
      <c r="AB39" s="20" t="s">
        <v>221</v>
      </c>
      <c r="AC39" s="19" t="s">
        <v>233</v>
      </c>
      <c r="AD39" s="4"/>
      <c r="AE39" s="4"/>
      <c r="AF39" s="4"/>
      <c r="AG39" s="4"/>
    </row>
    <row r="40" spans="17:33" ht="64" x14ac:dyDescent="0.2">
      <c r="Q40" s="19" t="s">
        <v>194</v>
      </c>
      <c r="R40" s="20" t="s">
        <v>195</v>
      </c>
      <c r="S40" s="19" t="s">
        <v>196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7:33" ht="48" x14ac:dyDescent="0.2">
      <c r="Q41" s="19" t="s">
        <v>197</v>
      </c>
      <c r="R41" s="20" t="s">
        <v>198</v>
      </c>
      <c r="S41" s="19" t="s">
        <v>199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7:33" ht="24" x14ac:dyDescent="0.2">
      <c r="Q42" s="4"/>
      <c r="R42" s="4"/>
      <c r="S42" s="4"/>
      <c r="T42" s="4"/>
      <c r="U42" s="4"/>
      <c r="V42" s="4"/>
      <c r="W42" s="4"/>
      <c r="X42" s="4"/>
      <c r="Y42" s="4"/>
      <c r="Z42" s="4"/>
      <c r="AA42" s="13" t="s">
        <v>234</v>
      </c>
      <c r="AB42" s="4"/>
      <c r="AC42" s="4"/>
      <c r="AD42" s="4"/>
      <c r="AE42" s="4"/>
      <c r="AF42" s="4"/>
      <c r="AG42" s="4"/>
    </row>
    <row r="43" spans="17:33" x14ac:dyDescent="0.2"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7:33" ht="32" x14ac:dyDescent="0.2">
      <c r="Q44" s="13" t="s">
        <v>200</v>
      </c>
      <c r="R44" s="4"/>
      <c r="S44" s="4"/>
      <c r="T44" s="4"/>
      <c r="U44" s="4"/>
      <c r="V44" s="4"/>
      <c r="W44" s="4"/>
      <c r="X44" s="4"/>
      <c r="Y44" s="4"/>
      <c r="Z44" s="4"/>
      <c r="AA44" s="18" t="s">
        <v>116</v>
      </c>
      <c r="AB44" s="18" t="s">
        <v>117</v>
      </c>
      <c r="AC44" s="18" t="s">
        <v>118</v>
      </c>
      <c r="AD44" s="4"/>
      <c r="AE44" s="4"/>
      <c r="AF44" s="4"/>
      <c r="AG44" s="4"/>
    </row>
    <row r="45" spans="17:33" ht="80" x14ac:dyDescent="0.2">
      <c r="Q45" s="4"/>
      <c r="R45" s="4"/>
      <c r="S45" s="4"/>
      <c r="T45" s="4"/>
      <c r="U45" s="4"/>
      <c r="V45" s="4"/>
      <c r="W45" s="4"/>
      <c r="X45" s="4"/>
      <c r="Y45" s="4"/>
      <c r="Z45" s="4"/>
      <c r="AA45" s="19" t="s">
        <v>201</v>
      </c>
      <c r="AB45" s="20" t="s">
        <v>166</v>
      </c>
      <c r="AC45" s="19" t="s">
        <v>235</v>
      </c>
      <c r="AD45" s="4"/>
      <c r="AE45" s="4"/>
      <c r="AF45" s="4"/>
      <c r="AG45" s="4"/>
    </row>
    <row r="46" spans="17:33" ht="32" x14ac:dyDescent="0.2">
      <c r="Q46" s="18" t="s">
        <v>116</v>
      </c>
      <c r="R46" s="18" t="s">
        <v>117</v>
      </c>
      <c r="S46" s="18" t="s">
        <v>118</v>
      </c>
      <c r="T46" s="4"/>
      <c r="U46" s="4"/>
      <c r="V46" s="4"/>
      <c r="W46" s="4"/>
      <c r="X46" s="4"/>
      <c r="Y46" s="4"/>
      <c r="Z46" s="4"/>
      <c r="AA46" s="19" t="s">
        <v>207</v>
      </c>
      <c r="AB46" s="20" t="s">
        <v>208</v>
      </c>
      <c r="AC46" s="19" t="s">
        <v>236</v>
      </c>
      <c r="AD46" s="4"/>
      <c r="AE46" s="4"/>
      <c r="AF46" s="4"/>
      <c r="AG46" s="4"/>
    </row>
    <row r="47" spans="17:33" ht="96" x14ac:dyDescent="0.2">
      <c r="Q47" s="19" t="s">
        <v>201</v>
      </c>
      <c r="R47" s="20" t="s">
        <v>129</v>
      </c>
      <c r="S47" s="19" t="s">
        <v>202</v>
      </c>
      <c r="T47" s="4"/>
      <c r="U47" s="4"/>
      <c r="V47" s="4"/>
      <c r="W47" s="4"/>
      <c r="X47" s="4"/>
      <c r="Y47" s="4"/>
      <c r="Z47" s="4"/>
      <c r="AA47" s="19" t="s">
        <v>203</v>
      </c>
      <c r="AB47" s="20" t="s">
        <v>208</v>
      </c>
      <c r="AC47" s="19" t="s">
        <v>237</v>
      </c>
      <c r="AD47" s="4"/>
      <c r="AE47" s="4"/>
      <c r="AF47" s="4"/>
      <c r="AG47" s="4"/>
    </row>
    <row r="48" spans="17:33" ht="64" x14ac:dyDescent="0.2">
      <c r="Q48" s="19" t="s">
        <v>203</v>
      </c>
      <c r="R48" s="20" t="s">
        <v>189</v>
      </c>
      <c r="S48" s="19" t="s">
        <v>204</v>
      </c>
      <c r="T48" s="4"/>
      <c r="U48" s="4"/>
      <c r="V48" s="4"/>
      <c r="W48" s="4"/>
      <c r="X48" s="4"/>
      <c r="Y48" s="4"/>
      <c r="Z48" s="4"/>
      <c r="AA48" s="19" t="s">
        <v>205</v>
      </c>
      <c r="AB48" s="20" t="s">
        <v>195</v>
      </c>
      <c r="AC48" s="19" t="s">
        <v>238</v>
      </c>
      <c r="AD48" s="4"/>
      <c r="AE48" s="4"/>
      <c r="AF48" s="4"/>
      <c r="AG48" s="4"/>
    </row>
    <row r="49" spans="17:33" ht="96" x14ac:dyDescent="0.2">
      <c r="Q49" s="19" t="s">
        <v>205</v>
      </c>
      <c r="R49" s="20" t="s">
        <v>189</v>
      </c>
      <c r="S49" s="19" t="s">
        <v>206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7:33" ht="64" x14ac:dyDescent="0.2">
      <c r="Q50" s="19" t="s">
        <v>207</v>
      </c>
      <c r="R50" s="20" t="s">
        <v>208</v>
      </c>
      <c r="S50" s="19" t="s">
        <v>209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7:33" ht="80" x14ac:dyDescent="0.2">
      <c r="Q51" s="19" t="s">
        <v>210</v>
      </c>
      <c r="R51" s="20" t="s">
        <v>195</v>
      </c>
      <c r="S51" s="19" t="s">
        <v>211</v>
      </c>
      <c r="T51" s="4"/>
      <c r="U51" s="4"/>
      <c r="V51" s="4"/>
      <c r="W51" s="4"/>
      <c r="X51" s="4"/>
      <c r="Y51" s="4"/>
      <c r="Z51" s="4"/>
      <c r="AA51" s="13" t="s">
        <v>239</v>
      </c>
      <c r="AB51" s="4"/>
      <c r="AC51" s="4"/>
      <c r="AD51" s="4"/>
      <c r="AE51" s="4"/>
      <c r="AF51" s="4"/>
      <c r="AG51" s="4"/>
    </row>
    <row r="52" spans="17:33" x14ac:dyDescent="0.2"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7:33" ht="32" x14ac:dyDescent="0.2">
      <c r="Q53" s="4"/>
      <c r="R53" s="4"/>
      <c r="S53" s="4"/>
      <c r="T53" s="4"/>
      <c r="U53" s="4"/>
      <c r="V53" s="4"/>
      <c r="W53" s="4"/>
      <c r="X53" s="4"/>
      <c r="Y53" s="4"/>
      <c r="Z53" s="4"/>
      <c r="AA53" s="18" t="s">
        <v>116</v>
      </c>
      <c r="AB53" s="18" t="s">
        <v>117</v>
      </c>
      <c r="AC53" s="18" t="s">
        <v>118</v>
      </c>
      <c r="AD53" s="4"/>
      <c r="AE53" s="4"/>
      <c r="AF53" s="4"/>
      <c r="AG53" s="4"/>
    </row>
    <row r="54" spans="17:33" ht="80" x14ac:dyDescent="0.2">
      <c r="Q54" s="13" t="s">
        <v>212</v>
      </c>
      <c r="R54" s="4"/>
      <c r="S54" s="4"/>
      <c r="T54" s="4"/>
      <c r="U54" s="4"/>
      <c r="V54" s="4"/>
      <c r="W54" s="4"/>
      <c r="X54" s="4"/>
      <c r="Y54" s="4"/>
      <c r="Z54" s="4"/>
      <c r="AA54" s="19" t="s">
        <v>201</v>
      </c>
      <c r="AB54" s="20" t="s">
        <v>142</v>
      </c>
      <c r="AC54" s="19" t="s">
        <v>240</v>
      </c>
      <c r="AD54" s="4"/>
      <c r="AE54" s="4"/>
      <c r="AF54" s="4"/>
      <c r="AG54" s="4"/>
    </row>
    <row r="55" spans="17:33" ht="48" x14ac:dyDescent="0.2">
      <c r="Q55" s="4"/>
      <c r="R55" s="4"/>
      <c r="S55" s="4"/>
      <c r="T55" s="4"/>
      <c r="U55" s="4"/>
      <c r="V55" s="4"/>
      <c r="W55" s="4"/>
      <c r="X55" s="4"/>
      <c r="Y55" s="4"/>
      <c r="Z55" s="4"/>
      <c r="AA55" s="19" t="s">
        <v>207</v>
      </c>
      <c r="AB55" s="20" t="s">
        <v>215</v>
      </c>
      <c r="AC55" s="19" t="s">
        <v>241</v>
      </c>
      <c r="AD55" s="4"/>
      <c r="AE55" s="4"/>
      <c r="AF55" s="4"/>
      <c r="AG55" s="4"/>
    </row>
    <row r="56" spans="17:33" ht="48" x14ac:dyDescent="0.2">
      <c r="Q56" s="18" t="s">
        <v>116</v>
      </c>
      <c r="R56" s="18" t="s">
        <v>117</v>
      </c>
      <c r="S56" s="18" t="s">
        <v>118</v>
      </c>
      <c r="T56" s="4"/>
      <c r="U56" s="4"/>
      <c r="V56" s="4"/>
      <c r="W56" s="4"/>
      <c r="X56" s="4"/>
      <c r="Y56" s="4"/>
      <c r="Z56" s="4"/>
      <c r="AA56" s="19" t="s">
        <v>203</v>
      </c>
      <c r="AB56" s="20" t="s">
        <v>215</v>
      </c>
      <c r="AC56" s="19" t="s">
        <v>242</v>
      </c>
      <c r="AD56" s="4"/>
      <c r="AE56" s="4"/>
      <c r="AF56" s="4"/>
      <c r="AG56" s="4"/>
    </row>
    <row r="57" spans="17:33" ht="112" x14ac:dyDescent="0.2">
      <c r="Q57" s="19" t="s">
        <v>201</v>
      </c>
      <c r="R57" s="20" t="s">
        <v>152</v>
      </c>
      <c r="S57" s="19" t="s">
        <v>213</v>
      </c>
      <c r="T57" s="4"/>
      <c r="U57" s="4"/>
      <c r="V57" s="4"/>
      <c r="W57" s="4"/>
      <c r="X57" s="4"/>
      <c r="Y57" s="4"/>
      <c r="Z57" s="4"/>
      <c r="AA57" s="19" t="s">
        <v>205</v>
      </c>
      <c r="AB57" s="20" t="s">
        <v>208</v>
      </c>
      <c r="AC57" s="19" t="s">
        <v>243</v>
      </c>
      <c r="AD57" s="4"/>
      <c r="AE57" s="4"/>
      <c r="AF57" s="4"/>
      <c r="AG57" s="4"/>
    </row>
    <row r="58" spans="17:33" ht="64" x14ac:dyDescent="0.2">
      <c r="Q58" s="19" t="s">
        <v>203</v>
      </c>
      <c r="R58" s="20" t="s">
        <v>169</v>
      </c>
      <c r="S58" s="19" t="s">
        <v>214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7:33" ht="64" x14ac:dyDescent="0.2">
      <c r="Q59" s="19" t="s">
        <v>205</v>
      </c>
      <c r="R59" s="20" t="s">
        <v>215</v>
      </c>
      <c r="S59" s="19" t="s">
        <v>216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7:33" ht="48" x14ac:dyDescent="0.2">
      <c r="Q60" s="19" t="s">
        <v>207</v>
      </c>
      <c r="R60" s="20" t="s">
        <v>217</v>
      </c>
      <c r="S60" s="19" t="s">
        <v>218</v>
      </c>
      <c r="T60" s="4"/>
      <c r="U60" s="4"/>
      <c r="V60" s="4"/>
      <c r="W60" s="4"/>
      <c r="X60" s="4"/>
      <c r="Y60" s="4"/>
      <c r="Z60" s="4"/>
      <c r="AA60" s="13" t="s">
        <v>244</v>
      </c>
      <c r="AB60" s="4"/>
      <c r="AC60" s="4"/>
      <c r="AD60" s="4"/>
      <c r="AE60" s="4"/>
      <c r="AF60" s="4"/>
      <c r="AG60" s="4"/>
    </row>
    <row r="61" spans="17:33" x14ac:dyDescent="0.2"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7:33" ht="32" x14ac:dyDescent="0.2">
      <c r="Q62" s="4"/>
      <c r="R62" s="4"/>
      <c r="S62" s="4"/>
      <c r="T62" s="4"/>
      <c r="U62" s="4"/>
      <c r="V62" s="4"/>
      <c r="W62" s="4"/>
      <c r="X62" s="4"/>
      <c r="Y62" s="4"/>
      <c r="Z62" s="4"/>
      <c r="AA62" s="18" t="s">
        <v>116</v>
      </c>
      <c r="AB62" s="18" t="s">
        <v>117</v>
      </c>
      <c r="AC62" s="18" t="s">
        <v>118</v>
      </c>
      <c r="AD62" s="4"/>
      <c r="AE62" s="4"/>
      <c r="AF62" s="4"/>
      <c r="AG62" s="4"/>
    </row>
    <row r="63" spans="17:33" ht="64" x14ac:dyDescent="0.2">
      <c r="Q63" s="13" t="s">
        <v>219</v>
      </c>
      <c r="R63" s="4"/>
      <c r="S63" s="4"/>
      <c r="T63" s="4"/>
      <c r="U63" s="4"/>
      <c r="V63" s="4"/>
      <c r="W63" s="4"/>
      <c r="X63" s="4"/>
      <c r="Y63" s="4"/>
      <c r="Z63" s="4"/>
      <c r="AA63" s="19" t="s">
        <v>201</v>
      </c>
      <c r="AB63" s="20" t="s">
        <v>137</v>
      </c>
      <c r="AC63" s="19" t="s">
        <v>245</v>
      </c>
      <c r="AD63" s="4"/>
      <c r="AE63" s="4"/>
      <c r="AF63" s="4"/>
      <c r="AG63" s="4"/>
    </row>
    <row r="64" spans="17:33" ht="48" x14ac:dyDescent="0.2">
      <c r="Q64" s="4"/>
      <c r="R64" s="4"/>
      <c r="S64" s="4"/>
      <c r="T64" s="4"/>
      <c r="U64" s="4"/>
      <c r="V64" s="4"/>
      <c r="W64" s="4"/>
      <c r="X64" s="4"/>
      <c r="Y64" s="4"/>
      <c r="Z64" s="4"/>
      <c r="AA64" s="19" t="s">
        <v>210</v>
      </c>
      <c r="AB64" s="20" t="s">
        <v>169</v>
      </c>
      <c r="AC64" s="19" t="s">
        <v>246</v>
      </c>
      <c r="AD64" s="4"/>
      <c r="AE64" s="4"/>
      <c r="AF64" s="4"/>
      <c r="AG64" s="4"/>
    </row>
    <row r="65" spans="17:33" ht="32" x14ac:dyDescent="0.2">
      <c r="Q65" s="18" t="s">
        <v>116</v>
      </c>
      <c r="R65" s="18" t="s">
        <v>117</v>
      </c>
      <c r="S65" s="18" t="s">
        <v>118</v>
      </c>
      <c r="T65" s="4"/>
      <c r="U65" s="4"/>
      <c r="V65" s="4"/>
      <c r="W65" s="4"/>
      <c r="X65" s="4"/>
      <c r="Y65" s="4"/>
      <c r="Z65" s="4"/>
      <c r="AA65" s="19" t="s">
        <v>207</v>
      </c>
      <c r="AB65" s="20" t="s">
        <v>195</v>
      </c>
      <c r="AC65" s="19" t="s">
        <v>247</v>
      </c>
      <c r="AD65" s="4"/>
      <c r="AE65" s="4"/>
      <c r="AF65" s="4"/>
      <c r="AG65" s="4"/>
    </row>
    <row r="66" spans="17:33" ht="96" x14ac:dyDescent="0.2">
      <c r="Q66" s="19" t="s">
        <v>201</v>
      </c>
      <c r="R66" s="20" t="s">
        <v>120</v>
      </c>
      <c r="S66" s="19" t="s">
        <v>220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7:33" ht="96" x14ac:dyDescent="0.2">
      <c r="Q67" s="19" t="s">
        <v>207</v>
      </c>
      <c r="R67" s="20" t="s">
        <v>221</v>
      </c>
      <c r="S67" s="19" t="s">
        <v>222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7:33" ht="64" x14ac:dyDescent="0.2">
      <c r="Q68" s="19" t="s">
        <v>203</v>
      </c>
      <c r="R68" s="20" t="s">
        <v>192</v>
      </c>
      <c r="S68" s="19" t="s">
        <v>223</v>
      </c>
      <c r="T68" s="4"/>
      <c r="U68" s="4"/>
      <c r="V68" s="4"/>
      <c r="W68" s="4"/>
      <c r="X68" s="4"/>
      <c r="Y68" s="4"/>
      <c r="Z68" s="4"/>
      <c r="AA68" s="13" t="s">
        <v>248</v>
      </c>
      <c r="AB68" s="4"/>
      <c r="AC68" s="4"/>
      <c r="AD68" s="4"/>
      <c r="AE68" s="4"/>
      <c r="AF68" s="4"/>
      <c r="AG68" s="4"/>
    </row>
    <row r="69" spans="17:33" ht="48" x14ac:dyDescent="0.2">
      <c r="Q69" s="19" t="s">
        <v>205</v>
      </c>
      <c r="R69" s="20" t="s">
        <v>221</v>
      </c>
      <c r="S69" s="19" t="s">
        <v>224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7:33" ht="32" x14ac:dyDescent="0.2">
      <c r="Q70" s="4"/>
      <c r="R70" s="4"/>
      <c r="S70" s="4"/>
      <c r="T70" s="4"/>
      <c r="U70" s="4"/>
      <c r="V70" s="4"/>
      <c r="W70" s="4"/>
      <c r="X70" s="4"/>
      <c r="Y70" s="4"/>
      <c r="Z70" s="4"/>
      <c r="AA70" s="18" t="s">
        <v>116</v>
      </c>
      <c r="AB70" s="18" t="s">
        <v>117</v>
      </c>
      <c r="AC70" s="18" t="s">
        <v>118</v>
      </c>
      <c r="AD70" s="4"/>
      <c r="AE70" s="4"/>
      <c r="AF70" s="4"/>
      <c r="AG70" s="4"/>
    </row>
    <row r="71" spans="17:33" ht="128" x14ac:dyDescent="0.2">
      <c r="Q71" s="4"/>
      <c r="R71" s="4"/>
      <c r="S71" s="4"/>
      <c r="T71" s="4"/>
      <c r="U71" s="4"/>
      <c r="V71" s="4"/>
      <c r="W71" s="4"/>
      <c r="X71" s="4"/>
      <c r="Y71" s="4"/>
      <c r="Z71" s="4"/>
      <c r="AA71" s="19" t="s">
        <v>201</v>
      </c>
      <c r="AB71" s="20" t="s">
        <v>129</v>
      </c>
      <c r="AC71" s="19" t="s">
        <v>249</v>
      </c>
      <c r="AD71" s="4"/>
      <c r="AE71" s="4"/>
      <c r="AF71" s="4"/>
      <c r="AG71" s="4"/>
    </row>
    <row r="72" spans="17:33" ht="64" x14ac:dyDescent="0.2">
      <c r="Q72" s="13" t="s">
        <v>225</v>
      </c>
      <c r="R72" s="4"/>
      <c r="S72" s="4"/>
      <c r="T72" s="4"/>
      <c r="U72" s="4"/>
      <c r="V72" s="4"/>
      <c r="W72" s="4"/>
      <c r="X72" s="4"/>
      <c r="Y72" s="4"/>
      <c r="Z72" s="4"/>
      <c r="AA72" s="19" t="s">
        <v>203</v>
      </c>
      <c r="AB72" s="20" t="s">
        <v>221</v>
      </c>
      <c r="AC72" s="19" t="s">
        <v>250</v>
      </c>
      <c r="AD72" s="4"/>
      <c r="AE72" s="4"/>
      <c r="AF72" s="4"/>
      <c r="AG72" s="4"/>
    </row>
    <row r="73" spans="17:33" ht="48" x14ac:dyDescent="0.2">
      <c r="Q73" s="4"/>
      <c r="R73" s="4"/>
      <c r="S73" s="4"/>
      <c r="T73" s="4"/>
      <c r="U73" s="4"/>
      <c r="V73" s="4"/>
      <c r="W73" s="4"/>
      <c r="X73" s="4"/>
      <c r="Y73" s="4"/>
      <c r="Z73" s="4"/>
      <c r="AA73" s="19" t="s">
        <v>207</v>
      </c>
      <c r="AB73" s="20" t="s">
        <v>192</v>
      </c>
      <c r="AC73" s="19" t="s">
        <v>251</v>
      </c>
      <c r="AD73" s="4"/>
      <c r="AE73" s="4"/>
      <c r="AF73" s="4"/>
      <c r="AG73" s="4"/>
    </row>
    <row r="74" spans="17:33" ht="48" x14ac:dyDescent="0.2">
      <c r="Q74" s="18" t="s">
        <v>116</v>
      </c>
      <c r="R74" s="18" t="s">
        <v>117</v>
      </c>
      <c r="S74" s="18" t="s">
        <v>118</v>
      </c>
      <c r="T74" s="4"/>
      <c r="U74" s="4"/>
      <c r="V74" s="4"/>
      <c r="W74" s="4"/>
      <c r="X74" s="4"/>
      <c r="Y74" s="4"/>
      <c r="Z74" s="4"/>
      <c r="AA74" s="19" t="s">
        <v>205</v>
      </c>
      <c r="AB74" s="20" t="s">
        <v>208</v>
      </c>
      <c r="AC74" s="19" t="s">
        <v>252</v>
      </c>
      <c r="AD74" s="4"/>
      <c r="AE74" s="4"/>
      <c r="AF74" s="4"/>
      <c r="AG74" s="4"/>
    </row>
    <row r="75" spans="17:33" ht="96" x14ac:dyDescent="0.2">
      <c r="Q75" s="19" t="s">
        <v>201</v>
      </c>
      <c r="R75" s="20" t="s">
        <v>155</v>
      </c>
      <c r="S75" s="19" t="s">
        <v>226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7:33" ht="48" x14ac:dyDescent="0.2">
      <c r="Q76" s="19" t="s">
        <v>203</v>
      </c>
      <c r="R76" s="20" t="s">
        <v>208</v>
      </c>
      <c r="S76" s="19" t="s">
        <v>227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7:33" ht="64" x14ac:dyDescent="0.2">
      <c r="Q77" s="19" t="s">
        <v>205</v>
      </c>
      <c r="R77" s="20" t="s">
        <v>215</v>
      </c>
      <c r="S77" s="19" t="s">
        <v>228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7:33" ht="48" x14ac:dyDescent="0.2">
      <c r="Q78" s="19" t="s">
        <v>207</v>
      </c>
      <c r="R78" s="20" t="s">
        <v>195</v>
      </c>
      <c r="S78" s="19" t="s">
        <v>229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7:33" x14ac:dyDescent="0.2"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7:33" x14ac:dyDescent="0.2"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76"/>
  <sheetViews>
    <sheetView tabSelected="1" zoomScale="83" workbookViewId="0">
      <selection activeCell="E34" sqref="E34"/>
    </sheetView>
  </sheetViews>
  <sheetFormatPr baseColWidth="10" defaultColWidth="8.6640625" defaultRowHeight="15" x14ac:dyDescent="0.2"/>
  <cols>
    <col min="1" max="1" width="18.5" customWidth="1"/>
    <col min="2" max="2" width="8.6640625" customWidth="1"/>
    <col min="3" max="3" width="30.83203125" customWidth="1"/>
    <col min="14" max="15" width="8.6640625" customWidth="1"/>
  </cols>
  <sheetData>
    <row r="1" spans="1:37" ht="16" x14ac:dyDescent="0.2">
      <c r="A1" s="23"/>
      <c r="B1" s="23" t="s">
        <v>5</v>
      </c>
      <c r="C1" s="23" t="s">
        <v>6</v>
      </c>
      <c r="D1" s="23" t="s">
        <v>7</v>
      </c>
      <c r="E1" s="23" t="s">
        <v>8</v>
      </c>
      <c r="F1" s="23" t="s">
        <v>9</v>
      </c>
      <c r="G1" s="23" t="s">
        <v>10</v>
      </c>
      <c r="H1" s="23" t="s">
        <v>11</v>
      </c>
      <c r="I1" s="23" t="s">
        <v>12</v>
      </c>
      <c r="J1" s="23" t="s">
        <v>13</v>
      </c>
      <c r="K1" s="23" t="s">
        <v>14</v>
      </c>
      <c r="U1" s="16" t="s">
        <v>358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x14ac:dyDescent="0.2">
      <c r="A2" s="23" t="s">
        <v>5</v>
      </c>
      <c r="B2" s="23">
        <v>0</v>
      </c>
      <c r="C2" s="23">
        <v>0.3</v>
      </c>
      <c r="D2" s="23">
        <v>0</v>
      </c>
      <c r="E2" s="23">
        <v>0.4</v>
      </c>
      <c r="F2" s="23">
        <v>0</v>
      </c>
      <c r="G2" s="23">
        <v>0.4</v>
      </c>
      <c r="H2" s="23">
        <v>0</v>
      </c>
      <c r="I2" s="23">
        <v>0</v>
      </c>
      <c r="J2" s="23">
        <v>0</v>
      </c>
      <c r="K2" s="23">
        <v>0</v>
      </c>
      <c r="U2" s="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x14ac:dyDescent="0.2">
      <c r="A3" s="23" t="s">
        <v>6</v>
      </c>
      <c r="B3" s="23">
        <v>0.25</v>
      </c>
      <c r="C3" s="23">
        <v>0</v>
      </c>
      <c r="D3" s="23">
        <v>0.2</v>
      </c>
      <c r="E3" s="23">
        <v>0.35</v>
      </c>
      <c r="F3" s="23">
        <v>0.3</v>
      </c>
      <c r="G3" s="23">
        <v>0</v>
      </c>
      <c r="H3" s="23">
        <v>0</v>
      </c>
      <c r="I3" s="23">
        <v>0.3</v>
      </c>
      <c r="J3" s="23">
        <v>0.4</v>
      </c>
      <c r="K3" s="23">
        <v>0</v>
      </c>
      <c r="U3" s="9" t="s">
        <v>78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">
      <c r="A4" s="23" t="s">
        <v>7</v>
      </c>
      <c r="B4" s="23">
        <v>-0.05</v>
      </c>
      <c r="C4" s="23">
        <v>7.0000000000000007E-2</v>
      </c>
      <c r="D4" s="23">
        <v>0</v>
      </c>
      <c r="E4" s="23">
        <v>0.15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0.25</v>
      </c>
      <c r="U4" s="10" t="s">
        <v>79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">
      <c r="A5" s="23" t="s">
        <v>8</v>
      </c>
      <c r="B5" s="23">
        <v>-0.2</v>
      </c>
      <c r="C5" s="23">
        <v>0.4</v>
      </c>
      <c r="D5" s="23">
        <v>0</v>
      </c>
      <c r="E5" s="23">
        <v>0</v>
      </c>
      <c r="F5" s="23">
        <v>0.25</v>
      </c>
      <c r="G5" s="23">
        <v>0</v>
      </c>
      <c r="H5" s="23">
        <v>0.5</v>
      </c>
      <c r="I5" s="23">
        <v>0</v>
      </c>
      <c r="J5" s="23">
        <v>0</v>
      </c>
      <c r="K5" s="23">
        <v>0.3</v>
      </c>
      <c r="U5" s="10" t="s">
        <v>80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2">
      <c r="A6" s="23" t="s">
        <v>9</v>
      </c>
      <c r="B6" s="23">
        <v>0</v>
      </c>
      <c r="C6" s="23">
        <v>0.3</v>
      </c>
      <c r="D6" s="23">
        <v>0</v>
      </c>
      <c r="E6" s="23">
        <v>0.25</v>
      </c>
      <c r="F6" s="23">
        <v>0</v>
      </c>
      <c r="G6" s="23">
        <v>0</v>
      </c>
      <c r="H6" s="23">
        <v>0</v>
      </c>
      <c r="I6" s="23">
        <v>0.2</v>
      </c>
      <c r="J6" s="23">
        <v>0.15</v>
      </c>
      <c r="K6" s="23">
        <v>0.2</v>
      </c>
      <c r="U6" s="10" t="s">
        <v>81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">
      <c r="A7" s="23" t="s">
        <v>10</v>
      </c>
      <c r="B7" s="23">
        <v>0.35</v>
      </c>
      <c r="C7" s="23">
        <v>0</v>
      </c>
      <c r="D7" s="23">
        <v>0</v>
      </c>
      <c r="E7" s="23">
        <v>0.3</v>
      </c>
      <c r="F7" s="23">
        <v>0</v>
      </c>
      <c r="G7" s="23">
        <v>0</v>
      </c>
      <c r="H7" s="23">
        <v>0</v>
      </c>
      <c r="I7" s="23">
        <v>0</v>
      </c>
      <c r="J7" s="23">
        <v>0.4</v>
      </c>
      <c r="K7" s="23">
        <v>0</v>
      </c>
      <c r="U7" s="7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2">
      <c r="A8" s="23" t="s">
        <v>11</v>
      </c>
      <c r="B8" s="23">
        <v>0</v>
      </c>
      <c r="C8" s="23">
        <v>0</v>
      </c>
      <c r="D8" s="23">
        <v>0</v>
      </c>
      <c r="E8" s="23">
        <v>0.5</v>
      </c>
      <c r="F8" s="23">
        <v>0</v>
      </c>
      <c r="G8" s="23">
        <v>0</v>
      </c>
      <c r="H8" s="23">
        <v>0</v>
      </c>
      <c r="I8" s="23">
        <v>0.3</v>
      </c>
      <c r="J8" s="23">
        <v>0</v>
      </c>
      <c r="K8" s="23">
        <v>0.25</v>
      </c>
      <c r="U8" s="9" t="s">
        <v>82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2">
      <c r="A9" s="23" t="s">
        <v>12</v>
      </c>
      <c r="B9" s="23">
        <v>0</v>
      </c>
      <c r="C9" s="23">
        <v>0.3</v>
      </c>
      <c r="D9" s="23">
        <v>0</v>
      </c>
      <c r="E9" s="23">
        <v>0</v>
      </c>
      <c r="F9" s="23">
        <v>0.2</v>
      </c>
      <c r="G9" s="23">
        <v>0.25</v>
      </c>
      <c r="H9" s="23">
        <v>0.3</v>
      </c>
      <c r="I9" s="23">
        <v>0</v>
      </c>
      <c r="J9" s="23">
        <v>0.2</v>
      </c>
      <c r="K9" s="23">
        <v>0.5</v>
      </c>
      <c r="U9" s="10" t="s">
        <v>83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2">
      <c r="A10" s="23" t="s">
        <v>13</v>
      </c>
      <c r="B10" s="23">
        <v>0</v>
      </c>
      <c r="C10" s="23">
        <v>0.4</v>
      </c>
      <c r="D10" s="23">
        <v>0</v>
      </c>
      <c r="E10" s="23">
        <v>0</v>
      </c>
      <c r="F10" s="23">
        <v>0.15</v>
      </c>
      <c r="G10" s="23">
        <v>0.4</v>
      </c>
      <c r="H10" s="23">
        <v>0</v>
      </c>
      <c r="I10" s="23">
        <v>0</v>
      </c>
      <c r="J10" s="23">
        <v>0</v>
      </c>
      <c r="K10" s="23">
        <v>0.2</v>
      </c>
      <c r="U10" s="10" t="s">
        <v>84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2">
      <c r="A11" s="23" t="s">
        <v>14</v>
      </c>
      <c r="B11" s="23">
        <v>0</v>
      </c>
      <c r="C11" s="23">
        <v>0</v>
      </c>
      <c r="D11" s="23">
        <v>0.25</v>
      </c>
      <c r="E11" s="23">
        <v>0.3</v>
      </c>
      <c r="F11" s="23">
        <v>0.2</v>
      </c>
      <c r="G11" s="23">
        <v>0</v>
      </c>
      <c r="H11" s="23">
        <v>0.25</v>
      </c>
      <c r="I11" s="23">
        <v>0.5</v>
      </c>
      <c r="J11" s="23">
        <v>0.2</v>
      </c>
      <c r="K11" s="23">
        <v>0</v>
      </c>
      <c r="U11" s="10" t="s">
        <v>85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x14ac:dyDescent="0.2">
      <c r="U12" s="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2">
      <c r="A13" s="23" t="s">
        <v>37</v>
      </c>
      <c r="B13" s="23">
        <v>0.2</v>
      </c>
      <c r="U13" s="9" t="s">
        <v>86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x14ac:dyDescent="0.2">
      <c r="U14" s="10" t="s">
        <v>87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2">
      <c r="U15" s="8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37.5" customHeight="1" x14ac:dyDescent="0.2">
      <c r="A16" s="1" t="s">
        <v>39</v>
      </c>
      <c r="N16" s="1" t="s">
        <v>40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45" x14ac:dyDescent="0.2">
      <c r="A17" s="23" t="s">
        <v>23</v>
      </c>
      <c r="B17" s="23" t="s">
        <v>5</v>
      </c>
      <c r="C17" s="23" t="s">
        <v>6</v>
      </c>
      <c r="D17" s="23" t="s">
        <v>7</v>
      </c>
      <c r="E17" s="23" t="s">
        <v>8</v>
      </c>
      <c r="F17" s="23" t="s">
        <v>9</v>
      </c>
      <c r="G17" s="23" t="s">
        <v>10</v>
      </c>
      <c r="H17" s="23" t="s">
        <v>11</v>
      </c>
      <c r="I17" s="23" t="s">
        <v>12</v>
      </c>
      <c r="J17" s="23" t="s">
        <v>13</v>
      </c>
      <c r="K17" s="23" t="s">
        <v>14</v>
      </c>
      <c r="N17" s="23" t="s">
        <v>33</v>
      </c>
      <c r="O17" s="23" t="s">
        <v>34</v>
      </c>
      <c r="P17" s="23" t="s">
        <v>35</v>
      </c>
      <c r="Q17" s="23" t="s">
        <v>36</v>
      </c>
      <c r="U17" s="8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45" ht="21" x14ac:dyDescent="0.2">
      <c r="A18" s="23" t="s">
        <v>5</v>
      </c>
      <c r="B18" s="23">
        <v>1</v>
      </c>
      <c r="C18" s="23">
        <f t="shared" ref="C18:K18" si="0">C2*$B$13</f>
        <v>0.06</v>
      </c>
      <c r="D18" s="23">
        <f t="shared" si="0"/>
        <v>0</v>
      </c>
      <c r="E18" s="23">
        <f t="shared" si="0"/>
        <v>8.0000000000000016E-2</v>
      </c>
      <c r="F18" s="23">
        <f t="shared" si="0"/>
        <v>0</v>
      </c>
      <c r="G18" s="23">
        <f t="shared" si="0"/>
        <v>8.0000000000000016E-2</v>
      </c>
      <c r="H18" s="23">
        <f t="shared" si="0"/>
        <v>0</v>
      </c>
      <c r="I18" s="23">
        <f t="shared" si="0"/>
        <v>0</v>
      </c>
      <c r="J18" s="23">
        <f t="shared" si="0"/>
        <v>0</v>
      </c>
      <c r="K18" s="23">
        <f t="shared" si="0"/>
        <v>0</v>
      </c>
      <c r="N18" s="23">
        <f>'Topic Effectiveness'!K3</f>
        <v>0.77600000000000002</v>
      </c>
      <c r="O18" s="23">
        <f>'Topic Effectiveness'!L3</f>
        <v>0.16399999999999998</v>
      </c>
      <c r="P18" s="23">
        <f>'Topic Effectiveness'!M3</f>
        <v>0.30600000000000005</v>
      </c>
      <c r="Q18" s="23">
        <f>'Topic Effectiveness'!N3</f>
        <v>0.79800000000000004</v>
      </c>
      <c r="U18" s="5" t="s">
        <v>359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45" x14ac:dyDescent="0.2">
      <c r="A19" s="23" t="s">
        <v>6</v>
      </c>
      <c r="B19" s="23">
        <f t="shared" ref="B19:K27" si="1">B3*$B$13</f>
        <v>0.05</v>
      </c>
      <c r="C19" s="23">
        <v>1</v>
      </c>
      <c r="D19" s="23">
        <f t="shared" si="1"/>
        <v>4.0000000000000008E-2</v>
      </c>
      <c r="E19" s="23">
        <f t="shared" si="1"/>
        <v>6.9999999999999993E-2</v>
      </c>
      <c r="F19" s="23">
        <f t="shared" si="1"/>
        <v>0.06</v>
      </c>
      <c r="G19" s="23">
        <f t="shared" si="1"/>
        <v>0</v>
      </c>
      <c r="H19" s="23">
        <f t="shared" si="1"/>
        <v>0</v>
      </c>
      <c r="I19" s="23">
        <f t="shared" si="1"/>
        <v>0.06</v>
      </c>
      <c r="J19" s="23">
        <f t="shared" si="1"/>
        <v>8.0000000000000016E-2</v>
      </c>
      <c r="K19" s="23">
        <f t="shared" si="1"/>
        <v>0</v>
      </c>
      <c r="N19" s="23">
        <f>'Topic Effectiveness'!K4</f>
        <v>0.57299999999999995</v>
      </c>
      <c r="O19" s="23">
        <f>'Topic Effectiveness'!L4</f>
        <v>0.24199999999999999</v>
      </c>
      <c r="P19" s="23">
        <f>'Topic Effectiveness'!M4</f>
        <v>0.85950000000000004</v>
      </c>
      <c r="Q19" s="23">
        <f>'Topic Effectiveness'!N4</f>
        <v>0.78949999999999998</v>
      </c>
      <c r="U19" s="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45" x14ac:dyDescent="0.2">
      <c r="A20" s="23" t="s">
        <v>7</v>
      </c>
      <c r="B20" s="23">
        <f t="shared" si="1"/>
        <v>-1.0000000000000002E-2</v>
      </c>
      <c r="C20" s="23">
        <f t="shared" si="1"/>
        <v>1.4000000000000002E-2</v>
      </c>
      <c r="D20" s="23">
        <v>1</v>
      </c>
      <c r="E20" s="23">
        <f t="shared" si="1"/>
        <v>0.03</v>
      </c>
      <c r="F20" s="23">
        <f t="shared" si="1"/>
        <v>0</v>
      </c>
      <c r="G20" s="23">
        <f t="shared" si="1"/>
        <v>0</v>
      </c>
      <c r="H20" s="23">
        <f t="shared" si="1"/>
        <v>0</v>
      </c>
      <c r="I20" s="23">
        <f t="shared" si="1"/>
        <v>0</v>
      </c>
      <c r="J20" s="23">
        <f t="shared" si="1"/>
        <v>0</v>
      </c>
      <c r="K20" s="23">
        <f t="shared" si="1"/>
        <v>0.05</v>
      </c>
      <c r="N20" s="23">
        <f>'Topic Effectiveness'!K5</f>
        <v>0.31599999999999995</v>
      </c>
      <c r="O20" s="23">
        <f>'Topic Effectiveness'!L5</f>
        <v>8.199999999999999E-2</v>
      </c>
      <c r="P20" s="23">
        <f>'Topic Effectiveness'!M5</f>
        <v>0.33999999999999997</v>
      </c>
      <c r="Q20" s="23">
        <f>'Topic Effectiveness'!N5</f>
        <v>0.74399999999999999</v>
      </c>
      <c r="U20" s="10" t="s">
        <v>88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45" x14ac:dyDescent="0.2">
      <c r="A21" s="23" t="s">
        <v>8</v>
      </c>
      <c r="B21" s="23">
        <f t="shared" si="1"/>
        <v>-4.0000000000000008E-2</v>
      </c>
      <c r="C21" s="23">
        <f t="shared" si="1"/>
        <v>8.0000000000000016E-2</v>
      </c>
      <c r="D21" s="23">
        <f t="shared" si="1"/>
        <v>0</v>
      </c>
      <c r="E21" s="23">
        <v>1</v>
      </c>
      <c r="F21" s="23">
        <f t="shared" si="1"/>
        <v>0.05</v>
      </c>
      <c r="G21" s="23">
        <f t="shared" si="1"/>
        <v>0</v>
      </c>
      <c r="H21" s="23">
        <f t="shared" si="1"/>
        <v>0.1</v>
      </c>
      <c r="I21" s="23">
        <f t="shared" si="1"/>
        <v>0</v>
      </c>
      <c r="J21" s="23">
        <f t="shared" si="1"/>
        <v>0</v>
      </c>
      <c r="K21" s="23">
        <f t="shared" si="1"/>
        <v>0.06</v>
      </c>
      <c r="N21" s="23">
        <f>'Topic Effectiveness'!K6</f>
        <v>0.81</v>
      </c>
      <c r="O21" s="23">
        <f>'Topic Effectiveness'!L6</f>
        <v>0.30000000000000004</v>
      </c>
      <c r="P21" s="23">
        <f>'Topic Effectiveness'!M6</f>
        <v>0.74</v>
      </c>
      <c r="Q21" s="23">
        <f>'Topic Effectiveness'!N6</f>
        <v>0.57750000000000001</v>
      </c>
      <c r="U21" s="9" t="s">
        <v>89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45" x14ac:dyDescent="0.2">
      <c r="A22" s="23" t="s">
        <v>9</v>
      </c>
      <c r="B22" s="23">
        <f t="shared" si="1"/>
        <v>0</v>
      </c>
      <c r="C22" s="23">
        <f t="shared" si="1"/>
        <v>0.06</v>
      </c>
      <c r="D22" s="23">
        <f t="shared" si="1"/>
        <v>0</v>
      </c>
      <c r="E22" s="23">
        <f t="shared" si="1"/>
        <v>0.05</v>
      </c>
      <c r="F22" s="23">
        <v>1</v>
      </c>
      <c r="G22" s="23">
        <f t="shared" si="1"/>
        <v>0</v>
      </c>
      <c r="H22" s="23">
        <f t="shared" si="1"/>
        <v>0</v>
      </c>
      <c r="I22" s="23">
        <f t="shared" si="1"/>
        <v>4.0000000000000008E-2</v>
      </c>
      <c r="J22" s="23">
        <f t="shared" si="1"/>
        <v>0.03</v>
      </c>
      <c r="K22" s="23">
        <f t="shared" si="1"/>
        <v>4.0000000000000008E-2</v>
      </c>
      <c r="N22" s="23">
        <f>'Topic Effectiveness'!K7</f>
        <v>0.51200000000000001</v>
      </c>
      <c r="O22" s="23">
        <f>'Topic Effectiveness'!L7</f>
        <v>0.221</v>
      </c>
      <c r="P22" s="23">
        <f>'Topic Effectiveness'!M7</f>
        <v>0.60899999999999999</v>
      </c>
      <c r="Q22" s="23">
        <f>'Topic Effectiveness'!N7</f>
        <v>0.51200000000000001</v>
      </c>
      <c r="U22" s="9" t="s">
        <v>90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45" x14ac:dyDescent="0.2">
      <c r="A23" s="23" t="s">
        <v>10</v>
      </c>
      <c r="B23" s="23">
        <f t="shared" si="1"/>
        <v>6.9999999999999993E-2</v>
      </c>
      <c r="C23" s="23">
        <f t="shared" si="1"/>
        <v>0</v>
      </c>
      <c r="D23" s="23">
        <f t="shared" si="1"/>
        <v>0</v>
      </c>
      <c r="E23" s="23">
        <f t="shared" si="1"/>
        <v>0.06</v>
      </c>
      <c r="F23" s="23">
        <f t="shared" si="1"/>
        <v>0</v>
      </c>
      <c r="G23" s="23">
        <v>1</v>
      </c>
      <c r="H23" s="23">
        <f t="shared" si="1"/>
        <v>0</v>
      </c>
      <c r="I23" s="23">
        <f t="shared" si="1"/>
        <v>0</v>
      </c>
      <c r="J23" s="23">
        <f t="shared" si="1"/>
        <v>8.0000000000000016E-2</v>
      </c>
      <c r="K23" s="23">
        <f t="shared" si="1"/>
        <v>0</v>
      </c>
      <c r="N23" s="23">
        <f>'Topic Effectiveness'!K8</f>
        <v>0.92959999999999998</v>
      </c>
      <c r="O23" s="23">
        <f>'Topic Effectiveness'!L8</f>
        <v>0.80300000000000005</v>
      </c>
      <c r="P23" s="23">
        <f>'Topic Effectiveness'!M8</f>
        <v>0.41500000000000004</v>
      </c>
      <c r="Q23" s="23">
        <f>'Topic Effectiveness'!N8</f>
        <v>0.47399999999999998</v>
      </c>
      <c r="U23" s="10" t="s">
        <v>91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45" x14ac:dyDescent="0.2">
      <c r="A24" s="23" t="s">
        <v>11</v>
      </c>
      <c r="B24" s="23">
        <f t="shared" si="1"/>
        <v>0</v>
      </c>
      <c r="C24" s="23">
        <f t="shared" si="1"/>
        <v>0</v>
      </c>
      <c r="D24" s="23">
        <f t="shared" si="1"/>
        <v>0</v>
      </c>
      <c r="E24" s="23">
        <f t="shared" si="1"/>
        <v>0.1</v>
      </c>
      <c r="F24" s="23">
        <f t="shared" si="1"/>
        <v>0</v>
      </c>
      <c r="G24" s="23">
        <f t="shared" si="1"/>
        <v>0</v>
      </c>
      <c r="H24" s="23">
        <v>1</v>
      </c>
      <c r="I24" s="23">
        <f t="shared" si="1"/>
        <v>0.06</v>
      </c>
      <c r="J24" s="23">
        <f t="shared" si="1"/>
        <v>0</v>
      </c>
      <c r="K24" s="23">
        <f t="shared" si="1"/>
        <v>0.05</v>
      </c>
      <c r="N24" s="23">
        <f>'Topic Effectiveness'!K9</f>
        <v>0.56699999999999995</v>
      </c>
      <c r="O24" s="23">
        <f>'Topic Effectiveness'!L9</f>
        <v>0.20299999999999999</v>
      </c>
      <c r="P24" s="23">
        <f>'Topic Effectiveness'!M9</f>
        <v>0.47599999999999998</v>
      </c>
      <c r="Q24" s="23">
        <f>'Topic Effectiveness'!N9</f>
        <v>0.38500000000000001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45" x14ac:dyDescent="0.2">
      <c r="A25" s="23" t="s">
        <v>12</v>
      </c>
      <c r="B25" s="23">
        <f t="shared" si="1"/>
        <v>0</v>
      </c>
      <c r="C25" s="23">
        <f t="shared" si="1"/>
        <v>0.06</v>
      </c>
      <c r="D25" s="23">
        <f t="shared" si="1"/>
        <v>0</v>
      </c>
      <c r="E25" s="23">
        <f t="shared" si="1"/>
        <v>0</v>
      </c>
      <c r="F25" s="23">
        <f t="shared" si="1"/>
        <v>4.0000000000000008E-2</v>
      </c>
      <c r="G25" s="23">
        <f t="shared" si="1"/>
        <v>0.05</v>
      </c>
      <c r="H25" s="23">
        <f t="shared" si="1"/>
        <v>0.06</v>
      </c>
      <c r="I25" s="23">
        <v>1</v>
      </c>
      <c r="J25" s="23">
        <f t="shared" si="1"/>
        <v>4.0000000000000008E-2</v>
      </c>
      <c r="K25" s="23">
        <f t="shared" si="1"/>
        <v>0.1</v>
      </c>
      <c r="N25" s="23">
        <f>'Topic Effectiveness'!K10</f>
        <v>0.48999999999999994</v>
      </c>
      <c r="O25" s="23">
        <f>'Topic Effectiveness'!L10</f>
        <v>0.66499999999999992</v>
      </c>
      <c r="P25" s="23">
        <f>'Topic Effectiveness'!M10</f>
        <v>0.21</v>
      </c>
      <c r="Q25" s="23">
        <f>'Topic Effectiveness'!N10</f>
        <v>0.13999999999999999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45" x14ac:dyDescent="0.2">
      <c r="A26" s="23" t="s">
        <v>13</v>
      </c>
      <c r="B26" s="23">
        <f t="shared" si="1"/>
        <v>0</v>
      </c>
      <c r="C26" s="23">
        <f t="shared" si="1"/>
        <v>8.0000000000000016E-2</v>
      </c>
      <c r="D26" s="23">
        <f t="shared" si="1"/>
        <v>0</v>
      </c>
      <c r="E26" s="23">
        <f t="shared" si="1"/>
        <v>0</v>
      </c>
      <c r="F26" s="23">
        <f t="shared" si="1"/>
        <v>0.03</v>
      </c>
      <c r="G26" s="23">
        <f t="shared" si="1"/>
        <v>8.0000000000000016E-2</v>
      </c>
      <c r="H26" s="23">
        <f t="shared" si="1"/>
        <v>0</v>
      </c>
      <c r="I26" s="23">
        <f t="shared" si="1"/>
        <v>0</v>
      </c>
      <c r="J26" s="23">
        <v>1</v>
      </c>
      <c r="K26" s="23">
        <f t="shared" si="1"/>
        <v>4.0000000000000008E-2</v>
      </c>
      <c r="N26" s="23">
        <f>'Topic Effectiveness'!K11</f>
        <v>8.7999999999999995E-2</v>
      </c>
      <c r="O26" s="23">
        <f>'Topic Effectiveness'!L11</f>
        <v>0.88</v>
      </c>
      <c r="P26" s="23">
        <f>'Topic Effectiveness'!M11</f>
        <v>0.6339999999999999</v>
      </c>
      <c r="Q26" s="23">
        <f>'Topic Effectiveness'!N11</f>
        <v>0.26600000000000001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45" ht="24" x14ac:dyDescent="0.2">
      <c r="A27" s="23" t="s">
        <v>14</v>
      </c>
      <c r="B27" s="23">
        <f t="shared" si="1"/>
        <v>0</v>
      </c>
      <c r="C27" s="23">
        <f t="shared" si="1"/>
        <v>0</v>
      </c>
      <c r="D27" s="23">
        <f t="shared" si="1"/>
        <v>0.05</v>
      </c>
      <c r="E27" s="23">
        <f t="shared" si="1"/>
        <v>0.06</v>
      </c>
      <c r="F27" s="23">
        <f t="shared" si="1"/>
        <v>4.0000000000000008E-2</v>
      </c>
      <c r="G27" s="23">
        <f t="shared" si="1"/>
        <v>0</v>
      </c>
      <c r="H27" s="23">
        <f t="shared" si="1"/>
        <v>0.05</v>
      </c>
      <c r="I27" s="23">
        <f t="shared" si="1"/>
        <v>0.1</v>
      </c>
      <c r="J27" s="23">
        <f t="shared" si="1"/>
        <v>4.0000000000000008E-2</v>
      </c>
      <c r="K27" s="23">
        <v>1</v>
      </c>
      <c r="N27" s="23">
        <f>'Topic Effectiveness'!K12</f>
        <v>0.65799999999999992</v>
      </c>
      <c r="O27" s="23">
        <f>'Topic Effectiveness'!L12</f>
        <v>0.29400000000000004</v>
      </c>
      <c r="P27" s="23">
        <f>'Topic Effectiveness'!M12</f>
        <v>0.56699999999999995</v>
      </c>
      <c r="Q27" s="23">
        <f>'Topic Effectiveness'!N12</f>
        <v>0.749</v>
      </c>
      <c r="U27" s="13" t="s">
        <v>360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45" x14ac:dyDescent="0.2"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45" x14ac:dyDescent="0.2">
      <c r="U29" s="4" t="s">
        <v>253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S29" s="3"/>
    </row>
    <row r="30" spans="1:45" x14ac:dyDescent="0.2"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45" x14ac:dyDescent="0.2">
      <c r="A31" t="s">
        <v>41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45" x14ac:dyDescent="0.2">
      <c r="A32" s="23" t="s">
        <v>23</v>
      </c>
      <c r="B32" s="23" t="s">
        <v>33</v>
      </c>
      <c r="C32" s="23" t="s">
        <v>34</v>
      </c>
      <c r="D32" s="23" t="s">
        <v>35</v>
      </c>
      <c r="E32" s="23" t="s">
        <v>36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9" x14ac:dyDescent="0.2">
      <c r="A33" s="23" t="s">
        <v>5</v>
      </c>
      <c r="B33" s="23" cm="1">
        <f t="array" ref="B33:E42">MMULT(B18:K27,N18:Q27)</f>
        <v>0.94954799999999995</v>
      </c>
      <c r="C33" s="23">
        <v>0.26676</v>
      </c>
      <c r="D33" s="23">
        <v>0.44997000000000009</v>
      </c>
      <c r="E33" s="23">
        <v>0.92949000000000004</v>
      </c>
      <c r="U33" s="14" t="s">
        <v>254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14" t="s">
        <v>292</v>
      </c>
      <c r="AG33" s="4"/>
      <c r="AH33" s="4"/>
      <c r="AI33" s="4"/>
      <c r="AJ33" s="4"/>
      <c r="AK33" s="4"/>
    </row>
    <row r="34" spans="1:37" x14ac:dyDescent="0.2">
      <c r="A34" s="23" t="s">
        <v>6</v>
      </c>
      <c r="B34" s="23">
        <v>0.74829999999999985</v>
      </c>
      <c r="C34" s="23">
        <v>0.39804</v>
      </c>
      <c r="D34" s="23">
        <v>1.04006</v>
      </c>
      <c r="E34" s="23">
        <v>0.95998499999999998</v>
      </c>
      <c r="U34" s="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7"/>
      <c r="AG34" s="4"/>
      <c r="AH34" s="4"/>
      <c r="AI34" s="4"/>
      <c r="AJ34" s="4"/>
      <c r="AK34" s="4"/>
    </row>
    <row r="35" spans="1:37" x14ac:dyDescent="0.2">
      <c r="A35" s="23" t="s">
        <v>7</v>
      </c>
      <c r="B35" s="23">
        <v>0.37346199999999991</v>
      </c>
      <c r="C35" s="23">
        <v>0.107448</v>
      </c>
      <c r="D35" s="23">
        <v>0.39952299999999996</v>
      </c>
      <c r="E35" s="23">
        <v>0.80184800000000001</v>
      </c>
      <c r="U35" s="15" t="s">
        <v>255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15" t="s">
        <v>293</v>
      </c>
      <c r="AG35" s="4"/>
      <c r="AH35" s="4"/>
      <c r="AI35" s="4"/>
      <c r="AJ35" s="4"/>
      <c r="AK35" s="4"/>
    </row>
    <row r="36" spans="1:37" x14ac:dyDescent="0.2">
      <c r="A36" s="23" t="s">
        <v>8</v>
      </c>
      <c r="B36" s="23">
        <v>0.94657999999999998</v>
      </c>
      <c r="C36" s="23">
        <v>0.36179</v>
      </c>
      <c r="D36" s="23">
        <v>0.90859000000000001</v>
      </c>
      <c r="E36" s="23">
        <v>0.71777999999999997</v>
      </c>
      <c r="U36" s="7" t="s">
        <v>256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7" t="s">
        <v>294</v>
      </c>
      <c r="AG36" s="4"/>
      <c r="AH36" s="4"/>
      <c r="AI36" s="4"/>
      <c r="AJ36" s="4"/>
      <c r="AK36" s="4"/>
    </row>
    <row r="37" spans="1:37" x14ac:dyDescent="0.2">
      <c r="A37" s="23" t="s">
        <v>9</v>
      </c>
      <c r="B37" s="23">
        <v>0.63544</v>
      </c>
      <c r="C37" s="23">
        <v>0.31528</v>
      </c>
      <c r="D37" s="23">
        <v>0.74767000000000006</v>
      </c>
      <c r="E37" s="23">
        <v>0.63178500000000004</v>
      </c>
      <c r="U37" s="7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7"/>
      <c r="AG37" s="4"/>
      <c r="AH37" s="4"/>
      <c r="AI37" s="4"/>
      <c r="AJ37" s="4"/>
      <c r="AK37" s="4"/>
    </row>
    <row r="38" spans="1:37" x14ac:dyDescent="0.2">
      <c r="A38" s="23" t="s">
        <v>10</v>
      </c>
      <c r="B38" s="23">
        <v>1.0395599999999998</v>
      </c>
      <c r="C38" s="23">
        <v>0.90288000000000002</v>
      </c>
      <c r="D38" s="23">
        <v>0.53154000000000001</v>
      </c>
      <c r="E38" s="23">
        <v>0.58578999999999992</v>
      </c>
      <c r="U38" s="15" t="s">
        <v>257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15" t="s">
        <v>295</v>
      </c>
      <c r="AG38" s="4"/>
      <c r="AH38" s="4"/>
      <c r="AI38" s="4"/>
      <c r="AJ38" s="4"/>
      <c r="AK38" s="4"/>
    </row>
    <row r="39" spans="1:37" x14ac:dyDescent="0.2">
      <c r="A39" s="23" t="s">
        <v>11</v>
      </c>
      <c r="B39" s="23">
        <v>0.71029999999999993</v>
      </c>
      <c r="C39" s="23">
        <v>0.28759999999999997</v>
      </c>
      <c r="D39" s="23">
        <v>0.59094999999999986</v>
      </c>
      <c r="E39" s="23">
        <v>0.48860000000000003</v>
      </c>
      <c r="U39" s="7" t="s">
        <v>258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7" t="s">
        <v>296</v>
      </c>
      <c r="AG39" s="4"/>
      <c r="AH39" s="4"/>
      <c r="AI39" s="4"/>
      <c r="AJ39" s="4"/>
      <c r="AK39" s="4"/>
    </row>
    <row r="40" spans="1:37" x14ac:dyDescent="0.2">
      <c r="A40" s="23" t="s">
        <v>12</v>
      </c>
      <c r="B40" s="23">
        <v>0.69467999999999985</v>
      </c>
      <c r="C40" s="23">
        <v>0.80528999999999995</v>
      </c>
      <c r="D40" s="23">
        <v>0.4173</v>
      </c>
      <c r="E40" s="23">
        <v>0.34018999999999999</v>
      </c>
      <c r="U40" s="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7"/>
      <c r="AG40" s="4"/>
      <c r="AH40" s="4"/>
      <c r="AI40" s="4"/>
      <c r="AJ40" s="4"/>
      <c r="AK40" s="4"/>
    </row>
    <row r="41" spans="1:37" x14ac:dyDescent="0.2">
      <c r="A41" s="23" t="s">
        <v>13</v>
      </c>
      <c r="B41" s="23">
        <v>0.24988800000000003</v>
      </c>
      <c r="C41" s="23">
        <v>0.98199000000000003</v>
      </c>
      <c r="D41" s="23">
        <v>0.77690999999999999</v>
      </c>
      <c r="E41" s="23">
        <v>0.41239999999999999</v>
      </c>
      <c r="U41" s="15" t="s">
        <v>259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15" t="s">
        <v>297</v>
      </c>
      <c r="AG41" s="4"/>
      <c r="AH41" s="4"/>
      <c r="AI41" s="4"/>
      <c r="AJ41" s="4"/>
      <c r="AK41" s="4"/>
    </row>
    <row r="42" spans="1:37" x14ac:dyDescent="0.2">
      <c r="A42" s="23" t="s">
        <v>14</v>
      </c>
      <c r="B42" s="23">
        <v>0.82374999999999998</v>
      </c>
      <c r="C42" s="23">
        <v>0.43679000000000001</v>
      </c>
      <c r="D42" s="23">
        <v>0.72292000000000001</v>
      </c>
      <c r="E42" s="23">
        <v>0.88522000000000001</v>
      </c>
      <c r="U42" s="7" t="s">
        <v>260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7" t="s">
        <v>298</v>
      </c>
      <c r="AG42" s="4"/>
      <c r="AH42" s="4"/>
      <c r="AI42" s="4"/>
      <c r="AJ42" s="4"/>
      <c r="AK42" s="4"/>
    </row>
    <row r="43" spans="1:37" x14ac:dyDescent="0.2"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7"/>
      <c r="AG43" s="4"/>
      <c r="AH43" s="4"/>
      <c r="AI43" s="4"/>
      <c r="AJ43" s="4"/>
      <c r="AK43" s="4"/>
    </row>
    <row r="44" spans="1:37" x14ac:dyDescent="0.2"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15" t="s">
        <v>299</v>
      </c>
      <c r="AG44" s="4"/>
      <c r="AH44" s="4"/>
      <c r="AI44" s="4"/>
      <c r="AJ44" s="4"/>
      <c r="AK44" s="4"/>
    </row>
    <row r="45" spans="1:37" x14ac:dyDescent="0.2"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7" t="s">
        <v>300</v>
      </c>
      <c r="AG45" s="4"/>
      <c r="AH45" s="4"/>
      <c r="AI45" s="4"/>
      <c r="AJ45" s="4"/>
      <c r="AK45" s="4"/>
    </row>
    <row r="46" spans="1:37" ht="19" x14ac:dyDescent="0.2">
      <c r="U46" s="14" t="s">
        <v>261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7"/>
      <c r="AG46" s="4"/>
      <c r="AH46" s="4"/>
      <c r="AI46" s="4"/>
      <c r="AJ46" s="4"/>
      <c r="AK46" s="4"/>
    </row>
    <row r="47" spans="1:37" x14ac:dyDescent="0.2">
      <c r="U47" s="7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15" t="s">
        <v>301</v>
      </c>
      <c r="AG47" s="4"/>
      <c r="AH47" s="4"/>
      <c r="AI47" s="4"/>
      <c r="AJ47" s="4"/>
      <c r="AK47" s="4"/>
    </row>
    <row r="48" spans="1:37" x14ac:dyDescent="0.2">
      <c r="U48" s="15" t="s">
        <v>262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7" t="s">
        <v>302</v>
      </c>
      <c r="AG48" s="4"/>
      <c r="AH48" s="4"/>
      <c r="AI48" s="4"/>
      <c r="AJ48" s="4"/>
      <c r="AK48" s="4"/>
    </row>
    <row r="49" spans="1:37" x14ac:dyDescent="0.2">
      <c r="U49" s="7" t="s">
        <v>263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2">
      <c r="U50" s="7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2">
      <c r="U51" s="15" t="s">
        <v>264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9" x14ac:dyDescent="0.2">
      <c r="U52" s="7" t="s">
        <v>265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14" t="s">
        <v>303</v>
      </c>
      <c r="AG52" s="4"/>
      <c r="AH52" s="4"/>
      <c r="AI52" s="4"/>
      <c r="AJ52" s="4"/>
      <c r="AK52" s="4"/>
    </row>
    <row r="53" spans="1:37" x14ac:dyDescent="0.2">
      <c r="U53" s="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7"/>
      <c r="AG53" s="4"/>
      <c r="AH53" s="4"/>
      <c r="AI53" s="4"/>
      <c r="AJ53" s="4"/>
      <c r="AK53" s="4"/>
    </row>
    <row r="54" spans="1:37" x14ac:dyDescent="0.2">
      <c r="U54" s="15" t="s">
        <v>266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15" t="s">
        <v>304</v>
      </c>
      <c r="AG54" s="4"/>
      <c r="AH54" s="4"/>
      <c r="AI54" s="4"/>
      <c r="AJ54" s="4"/>
      <c r="AK54" s="4"/>
    </row>
    <row r="55" spans="1:37" ht="24" x14ac:dyDescent="0.2">
      <c r="A55" s="25" t="s">
        <v>361</v>
      </c>
      <c r="U55" s="7" t="s">
        <v>267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7" t="s">
        <v>305</v>
      </c>
      <c r="AG55" s="4"/>
      <c r="AH55" s="4"/>
      <c r="AI55" s="4"/>
      <c r="AJ55" s="4"/>
      <c r="AK55" s="4"/>
    </row>
    <row r="56" spans="1:37" x14ac:dyDescent="0.2">
      <c r="U56" s="7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7"/>
      <c r="AG56" s="4"/>
      <c r="AH56" s="4"/>
      <c r="AI56" s="4"/>
      <c r="AJ56" s="4"/>
      <c r="AK56" s="4"/>
    </row>
    <row r="57" spans="1:37" x14ac:dyDescent="0.2">
      <c r="A57" t="s">
        <v>362</v>
      </c>
      <c r="U57" s="15" t="s">
        <v>268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15" t="s">
        <v>306</v>
      </c>
      <c r="AG57" s="4"/>
      <c r="AH57" s="4"/>
      <c r="AI57" s="4"/>
      <c r="AJ57" s="4"/>
      <c r="AK57" s="4"/>
    </row>
    <row r="58" spans="1:37" x14ac:dyDescent="0.2">
      <c r="A58" t="s">
        <v>363</v>
      </c>
      <c r="U58" s="7" t="s">
        <v>269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7" t="s">
        <v>307</v>
      </c>
      <c r="AG58" s="4"/>
      <c r="AH58" s="4"/>
      <c r="AI58" s="4"/>
      <c r="AJ58" s="4"/>
      <c r="AK58" s="4"/>
    </row>
    <row r="59" spans="1:37" x14ac:dyDescent="0.2">
      <c r="A59" s="2"/>
      <c r="U59" s="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7"/>
      <c r="AG59" s="4"/>
      <c r="AH59" s="4"/>
      <c r="AI59" s="4"/>
      <c r="AJ59" s="4"/>
      <c r="AK59" s="4"/>
    </row>
    <row r="60" spans="1:37" x14ac:dyDescent="0.2">
      <c r="A60" s="26" t="s">
        <v>364</v>
      </c>
      <c r="U60" s="15" t="s">
        <v>270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15" t="s">
        <v>308</v>
      </c>
      <c r="AG60" s="4"/>
      <c r="AH60" s="4"/>
      <c r="AI60" s="4"/>
      <c r="AJ60" s="4"/>
      <c r="AK60" s="4"/>
    </row>
    <row r="61" spans="1:37" x14ac:dyDescent="0.2">
      <c r="U61" s="7" t="s">
        <v>271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7" t="s">
        <v>309</v>
      </c>
      <c r="AG61" s="4"/>
      <c r="AH61" s="4"/>
      <c r="AI61" s="4"/>
      <c r="AJ61" s="4"/>
      <c r="AK61" s="4"/>
    </row>
    <row r="62" spans="1:37" x14ac:dyDescent="0.2">
      <c r="A62" t="s">
        <v>365</v>
      </c>
      <c r="U62" s="7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2">
      <c r="A63" s="2"/>
      <c r="U63" s="15" t="s">
        <v>272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2">
      <c r="A64" s="28" t="s">
        <v>366</v>
      </c>
      <c r="U64" s="7" t="s">
        <v>273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ht="19" x14ac:dyDescent="0.2">
      <c r="A65" s="2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14" t="s">
        <v>310</v>
      </c>
      <c r="AG65" s="4"/>
      <c r="AH65" s="4"/>
      <c r="AI65" s="4"/>
      <c r="AJ65" s="4"/>
      <c r="AK65" s="4"/>
    </row>
    <row r="66" spans="1:37" x14ac:dyDescent="0.2">
      <c r="A66" s="28" t="s">
        <v>367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7"/>
      <c r="AG66" s="4"/>
      <c r="AH66" s="4"/>
      <c r="AI66" s="4"/>
      <c r="AJ66" s="4"/>
      <c r="AK66" s="4"/>
    </row>
    <row r="67" spans="1:37" x14ac:dyDescent="0.2">
      <c r="A67" s="2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15" t="s">
        <v>311</v>
      </c>
      <c r="AG67" s="4"/>
      <c r="AH67" s="4"/>
      <c r="AI67" s="4"/>
      <c r="AJ67" s="4"/>
      <c r="AK67" s="4"/>
    </row>
    <row r="68" spans="1:37" ht="19" x14ac:dyDescent="0.2">
      <c r="A68" s="28" t="s">
        <v>368</v>
      </c>
      <c r="U68" s="14" t="s">
        <v>274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7" t="s">
        <v>312</v>
      </c>
      <c r="AG68" s="4"/>
      <c r="AH68" s="4"/>
      <c r="AI68" s="4"/>
      <c r="AJ68" s="4"/>
      <c r="AK68" s="4"/>
    </row>
    <row r="69" spans="1:37" x14ac:dyDescent="0.2">
      <c r="U69" s="7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7"/>
      <c r="AG69" s="4"/>
      <c r="AH69" s="4"/>
      <c r="AI69" s="4"/>
      <c r="AJ69" s="4"/>
      <c r="AK69" s="4"/>
    </row>
    <row r="70" spans="1:37" x14ac:dyDescent="0.2">
      <c r="A70" t="s">
        <v>369</v>
      </c>
      <c r="U70" s="15" t="s">
        <v>275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15" t="s">
        <v>313</v>
      </c>
      <c r="AG70" s="4"/>
      <c r="AH70" s="4"/>
      <c r="AI70" s="4"/>
      <c r="AJ70" s="4"/>
      <c r="AK70" s="4"/>
    </row>
    <row r="71" spans="1:37" x14ac:dyDescent="0.2">
      <c r="U71" s="7" t="s">
        <v>276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7" t="s">
        <v>314</v>
      </c>
      <c r="AG71" s="4"/>
      <c r="AH71" s="4"/>
      <c r="AI71" s="4"/>
      <c r="AJ71" s="4"/>
      <c r="AK71" s="4"/>
    </row>
    <row r="72" spans="1:37" x14ac:dyDescent="0.2">
      <c r="U72" s="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7"/>
      <c r="AG72" s="4"/>
      <c r="AH72" s="4"/>
      <c r="AI72" s="4"/>
      <c r="AJ72" s="4"/>
      <c r="AK72" s="4"/>
    </row>
    <row r="73" spans="1:37" x14ac:dyDescent="0.2">
      <c r="U73" s="15" t="s">
        <v>277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15" t="s">
        <v>315</v>
      </c>
      <c r="AG73" s="4"/>
      <c r="AH73" s="4"/>
      <c r="AI73" s="4"/>
      <c r="AJ73" s="4"/>
      <c r="AK73" s="4"/>
    </row>
    <row r="74" spans="1:37" ht="24" x14ac:dyDescent="0.2">
      <c r="A74" s="25" t="s">
        <v>370</v>
      </c>
      <c r="U74" s="7" t="s">
        <v>278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7" t="s">
        <v>316</v>
      </c>
      <c r="AG74" s="4"/>
      <c r="AH74" s="4"/>
      <c r="AI74" s="4"/>
      <c r="AJ74" s="4"/>
      <c r="AK74" s="4"/>
    </row>
    <row r="75" spans="1:37" x14ac:dyDescent="0.2">
      <c r="U75" s="7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ht="19" x14ac:dyDescent="0.2">
      <c r="A76" s="29" t="s">
        <v>371</v>
      </c>
      <c r="U76" s="15" t="s">
        <v>279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x14ac:dyDescent="0.2">
      <c r="U77" s="7" t="s">
        <v>280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ht="19" x14ac:dyDescent="0.2">
      <c r="A78" t="s">
        <v>372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14" t="s">
        <v>317</v>
      </c>
      <c r="AG78" s="4"/>
      <c r="AH78" s="4"/>
      <c r="AI78" s="4"/>
      <c r="AJ78" s="4"/>
      <c r="AK78" s="4"/>
    </row>
    <row r="79" spans="1:37" x14ac:dyDescent="0.2">
      <c r="A79" s="2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7"/>
      <c r="AG79" s="4"/>
      <c r="AH79" s="4"/>
      <c r="AI79" s="4"/>
      <c r="AJ79" s="4"/>
      <c r="AK79" s="4"/>
    </row>
    <row r="80" spans="1:37" x14ac:dyDescent="0.2">
      <c r="A80" s="2" t="s">
        <v>373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15" t="s">
        <v>318</v>
      </c>
      <c r="AG80" s="4"/>
      <c r="AH80" s="4"/>
      <c r="AI80" s="4"/>
      <c r="AJ80" s="4"/>
      <c r="AK80" s="4"/>
    </row>
    <row r="81" spans="1:37" ht="19" x14ac:dyDescent="0.2">
      <c r="A81" s="2"/>
      <c r="U81" s="14" t="s">
        <v>281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7" t="s">
        <v>319</v>
      </c>
      <c r="AG81" s="4"/>
      <c r="AH81" s="4"/>
      <c r="AI81" s="4"/>
      <c r="AJ81" s="4"/>
      <c r="AK81" s="4"/>
    </row>
    <row r="82" spans="1:37" x14ac:dyDescent="0.2">
      <c r="A82" s="2" t="s">
        <v>374</v>
      </c>
      <c r="U82" s="7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7"/>
      <c r="AG82" s="4"/>
      <c r="AH82" s="4"/>
      <c r="AI82" s="4"/>
      <c r="AJ82" s="4"/>
      <c r="AK82" s="4"/>
    </row>
    <row r="83" spans="1:37" x14ac:dyDescent="0.2">
      <c r="A83" s="2"/>
      <c r="U83" s="15" t="s">
        <v>282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15" t="s">
        <v>320</v>
      </c>
      <c r="AG83" s="4"/>
      <c r="AH83" s="4"/>
      <c r="AI83" s="4"/>
      <c r="AJ83" s="4"/>
      <c r="AK83" s="4"/>
    </row>
    <row r="84" spans="1:37" x14ac:dyDescent="0.2">
      <c r="A84" s="2" t="s">
        <v>375</v>
      </c>
      <c r="U84" s="7" t="s">
        <v>283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7" t="s">
        <v>321</v>
      </c>
      <c r="AG84" s="4"/>
      <c r="AH84" s="4"/>
      <c r="AI84" s="4"/>
      <c r="AJ84" s="4"/>
      <c r="AK84" s="4"/>
    </row>
    <row r="85" spans="1:37" x14ac:dyDescent="0.2">
      <c r="A85" s="2"/>
      <c r="U85" s="7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7"/>
      <c r="AG85" s="4"/>
      <c r="AH85" s="4"/>
      <c r="AI85" s="4"/>
      <c r="AJ85" s="4"/>
      <c r="AK85" s="4"/>
    </row>
    <row r="86" spans="1:37" x14ac:dyDescent="0.2">
      <c r="A86" s="2" t="s">
        <v>376</v>
      </c>
      <c r="U86" s="15" t="s">
        <v>284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15" t="s">
        <v>322</v>
      </c>
      <c r="AG86" s="4"/>
      <c r="AH86" s="4"/>
      <c r="AI86" s="4"/>
      <c r="AJ86" s="4"/>
      <c r="AK86" s="4"/>
    </row>
    <row r="87" spans="1:37" x14ac:dyDescent="0.2">
      <c r="U87" s="7" t="s">
        <v>285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7" t="s">
        <v>323</v>
      </c>
      <c r="AG87" s="4"/>
      <c r="AH87" s="4"/>
      <c r="AI87" s="4"/>
      <c r="AJ87" s="4"/>
      <c r="AK87" s="4"/>
    </row>
    <row r="88" spans="1:37" x14ac:dyDescent="0.2">
      <c r="A88" s="27" t="s">
        <v>377</v>
      </c>
      <c r="U88" s="7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7"/>
      <c r="AG88" s="4"/>
      <c r="AH88" s="4"/>
      <c r="AI88" s="4"/>
      <c r="AJ88" s="4"/>
      <c r="AK88" s="4"/>
    </row>
    <row r="89" spans="1:37" x14ac:dyDescent="0.2">
      <c r="U89" s="15" t="s">
        <v>286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15" t="s">
        <v>324</v>
      </c>
      <c r="AG89" s="4"/>
      <c r="AH89" s="4"/>
      <c r="AI89" s="4"/>
      <c r="AJ89" s="4"/>
      <c r="AK89" s="4"/>
    </row>
    <row r="90" spans="1:37" x14ac:dyDescent="0.2">
      <c r="U90" s="7" t="s">
        <v>287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7" t="s">
        <v>325</v>
      </c>
      <c r="AG90" s="4"/>
      <c r="AH90" s="4"/>
      <c r="AI90" s="4"/>
      <c r="AJ90" s="4"/>
      <c r="AK90" s="4"/>
    </row>
    <row r="91" spans="1:37" x14ac:dyDescent="0.2">
      <c r="U91" s="7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7"/>
      <c r="AG91" s="4"/>
      <c r="AH91" s="4"/>
      <c r="AI91" s="4"/>
      <c r="AJ91" s="4"/>
      <c r="AK91" s="4"/>
    </row>
    <row r="92" spans="1:37" ht="19" x14ac:dyDescent="0.2">
      <c r="A92" s="29" t="s">
        <v>378</v>
      </c>
      <c r="U92" s="15" t="s">
        <v>288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15" t="s">
        <v>326</v>
      </c>
      <c r="AG92" s="4"/>
      <c r="AH92" s="4"/>
      <c r="AI92" s="4"/>
      <c r="AJ92" s="4"/>
      <c r="AK92" s="4"/>
    </row>
    <row r="93" spans="1:37" x14ac:dyDescent="0.2">
      <c r="U93" s="7" t="s">
        <v>289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7" t="s">
        <v>327</v>
      </c>
      <c r="AG93" s="4"/>
      <c r="AH93" s="4"/>
      <c r="AI93" s="4"/>
      <c r="AJ93" s="4"/>
      <c r="AK93" s="4"/>
    </row>
    <row r="94" spans="1:37" x14ac:dyDescent="0.2">
      <c r="A94" t="s">
        <v>379</v>
      </c>
      <c r="U94" s="7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7"/>
      <c r="AG94" s="4"/>
      <c r="AH94" s="4"/>
      <c r="AI94" s="4"/>
      <c r="AJ94" s="4"/>
      <c r="AK94" s="4"/>
    </row>
    <row r="95" spans="1:37" x14ac:dyDescent="0.2">
      <c r="U95" s="15" t="s">
        <v>290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15" t="s">
        <v>328</v>
      </c>
      <c r="AG95" s="4"/>
      <c r="AH95" s="4"/>
      <c r="AI95" s="4"/>
      <c r="AJ95" s="4"/>
      <c r="AK95" s="4"/>
    </row>
    <row r="96" spans="1:37" ht="64" x14ac:dyDescent="0.2">
      <c r="A96" s="30" t="s">
        <v>380</v>
      </c>
      <c r="B96" s="30" t="s">
        <v>381</v>
      </c>
      <c r="U96" s="7" t="s">
        <v>291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7" t="s">
        <v>329</v>
      </c>
      <c r="AG96" s="4"/>
      <c r="AH96" s="4"/>
      <c r="AI96" s="4"/>
      <c r="AJ96" s="4"/>
      <c r="AK96" s="4"/>
    </row>
    <row r="97" spans="1:37" ht="64" x14ac:dyDescent="0.2">
      <c r="A97" s="31" t="s">
        <v>382</v>
      </c>
      <c r="B97" s="31" t="s">
        <v>383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64" x14ac:dyDescent="0.2">
      <c r="A98" s="31" t="s">
        <v>198</v>
      </c>
      <c r="B98" s="31" t="s">
        <v>383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64" x14ac:dyDescent="0.2">
      <c r="A99" s="31" t="s">
        <v>217</v>
      </c>
      <c r="B99" s="31" t="s">
        <v>383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64" x14ac:dyDescent="0.2">
      <c r="A100" s="31" t="s">
        <v>384</v>
      </c>
      <c r="B100" s="31" t="s">
        <v>385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14" t="s">
        <v>330</v>
      </c>
      <c r="AG100" s="4"/>
      <c r="AH100" s="4"/>
      <c r="AI100" s="4"/>
      <c r="AJ100" s="4"/>
      <c r="AK100" s="4"/>
    </row>
    <row r="101" spans="1:37" ht="64" x14ac:dyDescent="0.2">
      <c r="A101" s="31" t="s">
        <v>195</v>
      </c>
      <c r="B101" s="31" t="s">
        <v>386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7"/>
      <c r="AG101" s="4"/>
      <c r="AH101" s="4"/>
      <c r="AI101" s="4"/>
      <c r="AJ101" s="4"/>
      <c r="AK101" s="4"/>
    </row>
    <row r="102" spans="1:37" ht="64" x14ac:dyDescent="0.2">
      <c r="A102" s="31" t="s">
        <v>215</v>
      </c>
      <c r="B102" s="31" t="s">
        <v>387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15" t="s">
        <v>331</v>
      </c>
      <c r="AG102" s="4"/>
      <c r="AH102" s="4"/>
      <c r="AI102" s="4"/>
      <c r="AJ102" s="4"/>
      <c r="AK102" s="4"/>
    </row>
    <row r="103" spans="1:37" x14ac:dyDescent="0.2"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7" t="s">
        <v>332</v>
      </c>
      <c r="AG103" s="4"/>
      <c r="AH103" s="4"/>
      <c r="AI103" s="4"/>
      <c r="AJ103" s="4"/>
      <c r="AK103" s="4"/>
    </row>
    <row r="104" spans="1:37" x14ac:dyDescent="0.2"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7"/>
      <c r="AG104" s="4"/>
      <c r="AH104" s="4"/>
      <c r="AI104" s="4"/>
      <c r="AJ104" s="4"/>
      <c r="AK104" s="4"/>
    </row>
    <row r="105" spans="1:37" ht="19" x14ac:dyDescent="0.2">
      <c r="A105" s="29" t="s">
        <v>388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15" t="s">
        <v>333</v>
      </c>
      <c r="AG105" s="4"/>
      <c r="AH105" s="4"/>
      <c r="AI105" s="4"/>
      <c r="AJ105" s="4"/>
      <c r="AK105" s="4"/>
    </row>
    <row r="106" spans="1:37" x14ac:dyDescent="0.2"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7" t="s">
        <v>334</v>
      </c>
      <c r="AG106" s="4"/>
      <c r="AH106" s="4"/>
      <c r="AI106" s="4"/>
      <c r="AJ106" s="4"/>
      <c r="AK106" s="4"/>
    </row>
    <row r="107" spans="1:37" x14ac:dyDescent="0.2">
      <c r="A107" t="s">
        <v>389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7"/>
      <c r="AG107" s="4"/>
      <c r="AH107" s="4"/>
      <c r="AI107" s="4"/>
      <c r="AJ107" s="4"/>
      <c r="AK107" s="4"/>
    </row>
    <row r="108" spans="1:37" x14ac:dyDescent="0.2">
      <c r="A108" s="2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15" t="s">
        <v>335</v>
      </c>
      <c r="AG108" s="4"/>
      <c r="AH108" s="4"/>
      <c r="AI108" s="4"/>
      <c r="AJ108" s="4"/>
      <c r="AK108" s="4"/>
    </row>
    <row r="109" spans="1:37" x14ac:dyDescent="0.2">
      <c r="A109" s="2" t="s">
        <v>390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7" t="s">
        <v>336</v>
      </c>
      <c r="AG109" s="4"/>
      <c r="AH109" s="4"/>
      <c r="AI109" s="4"/>
      <c r="AJ109" s="4"/>
      <c r="AK109" s="4"/>
    </row>
    <row r="110" spans="1:37" x14ac:dyDescent="0.2">
      <c r="A110" s="2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7"/>
      <c r="AG110" s="4"/>
      <c r="AH110" s="4"/>
      <c r="AI110" s="4"/>
      <c r="AJ110" s="4"/>
      <c r="AK110" s="4"/>
    </row>
    <row r="111" spans="1:37" x14ac:dyDescent="0.2">
      <c r="A111" s="2" t="s">
        <v>391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15" t="s">
        <v>337</v>
      </c>
      <c r="AG111" s="4"/>
      <c r="AH111" s="4"/>
      <c r="AI111" s="4"/>
      <c r="AJ111" s="4"/>
      <c r="AK111" s="4"/>
    </row>
    <row r="112" spans="1:37" x14ac:dyDescent="0.2"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7" t="s">
        <v>338</v>
      </c>
      <c r="AG112" s="4"/>
      <c r="AH112" s="4"/>
      <c r="AI112" s="4"/>
      <c r="AJ112" s="4"/>
      <c r="AK112" s="4"/>
    </row>
    <row r="113" spans="1:37" x14ac:dyDescent="0.2">
      <c r="A113" t="s">
        <v>392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x14ac:dyDescent="0.2">
      <c r="A114" s="2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x14ac:dyDescent="0.2">
      <c r="A115" s="2" t="s">
        <v>393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19" x14ac:dyDescent="0.2">
      <c r="A116" s="2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14" t="s">
        <v>339</v>
      </c>
      <c r="AG116" s="4"/>
      <c r="AH116" s="4"/>
      <c r="AI116" s="4"/>
      <c r="AJ116" s="4"/>
      <c r="AK116" s="4"/>
    </row>
    <row r="117" spans="1:37" x14ac:dyDescent="0.2">
      <c r="A117" s="2" t="s">
        <v>394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7"/>
      <c r="AG117" s="4"/>
      <c r="AH117" s="4"/>
      <c r="AI117" s="4"/>
      <c r="AJ117" s="4"/>
      <c r="AK117" s="4"/>
    </row>
    <row r="118" spans="1:37" x14ac:dyDescent="0.2">
      <c r="A118" s="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15" t="s">
        <v>340</v>
      </c>
      <c r="AG118" s="4"/>
      <c r="AH118" s="4"/>
      <c r="AI118" s="4"/>
      <c r="AJ118" s="4"/>
      <c r="AK118" s="4"/>
    </row>
    <row r="119" spans="1:37" x14ac:dyDescent="0.2">
      <c r="A119" s="2" t="s">
        <v>395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7" t="s">
        <v>341</v>
      </c>
      <c r="AG119" s="4"/>
      <c r="AH119" s="4"/>
      <c r="AI119" s="4"/>
      <c r="AJ119" s="4"/>
      <c r="AK119" s="4"/>
    </row>
    <row r="120" spans="1:37" x14ac:dyDescent="0.2"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7"/>
      <c r="AG120" s="4"/>
      <c r="AH120" s="4"/>
      <c r="AI120" s="4"/>
      <c r="AJ120" s="4"/>
      <c r="AK120" s="4"/>
    </row>
    <row r="121" spans="1:37" x14ac:dyDescent="0.2"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15" t="s">
        <v>342</v>
      </c>
      <c r="AG121" s="4"/>
      <c r="AH121" s="4"/>
      <c r="AI121" s="4"/>
      <c r="AJ121" s="4"/>
      <c r="AK121" s="4"/>
    </row>
    <row r="122" spans="1:37" x14ac:dyDescent="0.2"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7" t="s">
        <v>343</v>
      </c>
      <c r="AG122" s="4"/>
      <c r="AH122" s="4"/>
      <c r="AI122" s="4"/>
      <c r="AJ122" s="4"/>
      <c r="AK122" s="4"/>
    </row>
    <row r="123" spans="1:37" ht="19" x14ac:dyDescent="0.2">
      <c r="A123" s="29" t="s">
        <v>396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7"/>
      <c r="AG123" s="4"/>
      <c r="AH123" s="4"/>
      <c r="AI123" s="4"/>
      <c r="AJ123" s="4"/>
      <c r="AK123" s="4"/>
    </row>
    <row r="124" spans="1:37" x14ac:dyDescent="0.2"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15" t="s">
        <v>344</v>
      </c>
      <c r="AG124" s="4"/>
      <c r="AH124" s="4"/>
      <c r="AI124" s="4"/>
      <c r="AJ124" s="4"/>
      <c r="AK124" s="4"/>
    </row>
    <row r="125" spans="1:37" x14ac:dyDescent="0.2">
      <c r="A125" t="s">
        <v>397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7" t="s">
        <v>345</v>
      </c>
      <c r="AG125" s="4"/>
      <c r="AH125" s="4"/>
      <c r="AI125" s="4"/>
      <c r="AJ125" s="4"/>
      <c r="AK125" s="4"/>
    </row>
    <row r="126" spans="1:37" x14ac:dyDescent="0.2"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7"/>
      <c r="AG126" s="4"/>
      <c r="AH126" s="4"/>
      <c r="AI126" s="4"/>
      <c r="AJ126" s="4"/>
      <c r="AK126" s="4"/>
    </row>
    <row r="127" spans="1:37" x14ac:dyDescent="0.2">
      <c r="A127" t="s">
        <v>113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15" t="s">
        <v>346</v>
      </c>
      <c r="AG127" s="4"/>
      <c r="AH127" s="4"/>
      <c r="AI127" s="4"/>
      <c r="AJ127" s="4"/>
      <c r="AK127" s="4"/>
    </row>
    <row r="128" spans="1:37" x14ac:dyDescent="0.2">
      <c r="A128" t="s">
        <v>398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7" t="s">
        <v>347</v>
      </c>
      <c r="AG128" s="4"/>
      <c r="AH128" s="4"/>
      <c r="AI128" s="4"/>
      <c r="AJ128" s="4"/>
      <c r="AK128" s="4"/>
    </row>
    <row r="129" spans="1:37" x14ac:dyDescent="0.2">
      <c r="A129" t="s">
        <v>114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7"/>
      <c r="AG129" s="4"/>
      <c r="AH129" s="4"/>
      <c r="AI129" s="4"/>
      <c r="AJ129" s="4"/>
      <c r="AK129" s="4"/>
    </row>
    <row r="130" spans="1:37" x14ac:dyDescent="0.2"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15" t="s">
        <v>348</v>
      </c>
      <c r="AG130" s="4"/>
      <c r="AH130" s="4"/>
      <c r="AI130" s="4"/>
      <c r="AJ130" s="4"/>
      <c r="AK130" s="4"/>
    </row>
    <row r="131" spans="1:37" x14ac:dyDescent="0.2">
      <c r="A131" t="s">
        <v>399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7" t="s">
        <v>349</v>
      </c>
      <c r="AG131" s="4"/>
      <c r="AH131" s="4"/>
      <c r="AI131" s="4"/>
      <c r="AJ131" s="4"/>
      <c r="AK131" s="4"/>
    </row>
    <row r="132" spans="1:37" x14ac:dyDescent="0.2">
      <c r="A132" s="2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7"/>
      <c r="AG132" s="4"/>
      <c r="AH132" s="4"/>
      <c r="AI132" s="4"/>
      <c r="AJ132" s="4"/>
      <c r="AK132" s="4"/>
    </row>
    <row r="133" spans="1:37" x14ac:dyDescent="0.2">
      <c r="A133" s="2" t="s">
        <v>400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15" t="s">
        <v>350</v>
      </c>
      <c r="AG133" s="4"/>
      <c r="AH133" s="4"/>
      <c r="AI133" s="4"/>
      <c r="AJ133" s="4"/>
      <c r="AK133" s="4"/>
    </row>
    <row r="134" spans="1:37" x14ac:dyDescent="0.2">
      <c r="A134" s="2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7" t="s">
        <v>351</v>
      </c>
      <c r="AG134" s="4"/>
      <c r="AH134" s="4"/>
      <c r="AI134" s="4"/>
      <c r="AJ134" s="4"/>
      <c r="AK134" s="4"/>
    </row>
    <row r="135" spans="1:37" x14ac:dyDescent="0.2">
      <c r="A135" s="2" t="s">
        <v>401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x14ac:dyDescent="0.2"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x14ac:dyDescent="0.2"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x14ac:dyDescent="0.2"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4" x14ac:dyDescent="0.2">
      <c r="A139" s="25" t="s">
        <v>402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x14ac:dyDescent="0.2"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x14ac:dyDescent="0.2">
      <c r="A141" t="s">
        <v>403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x14ac:dyDescent="0.2">
      <c r="A142" s="2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x14ac:dyDescent="0.2">
      <c r="A143" s="2" t="s">
        <v>404</v>
      </c>
    </row>
    <row r="144" spans="1:37" x14ac:dyDescent="0.2">
      <c r="A144" s="2"/>
    </row>
    <row r="145" spans="1:2" x14ac:dyDescent="0.2">
      <c r="A145" s="2" t="s">
        <v>405</v>
      </c>
    </row>
    <row r="147" spans="1:2" ht="64" x14ac:dyDescent="0.2">
      <c r="A147" s="30" t="s">
        <v>406</v>
      </c>
      <c r="B147" s="30" t="s">
        <v>407</v>
      </c>
    </row>
    <row r="148" spans="1:2" ht="16" x14ac:dyDescent="0.2">
      <c r="A148" s="31" t="s">
        <v>198</v>
      </c>
      <c r="B148" s="31" t="s">
        <v>408</v>
      </c>
    </row>
    <row r="149" spans="1:2" ht="16" x14ac:dyDescent="0.2">
      <c r="A149" s="31" t="s">
        <v>384</v>
      </c>
      <c r="B149" s="31" t="s">
        <v>409</v>
      </c>
    </row>
    <row r="150" spans="1:2" ht="16" x14ac:dyDescent="0.2">
      <c r="A150" s="31" t="s">
        <v>208</v>
      </c>
      <c r="B150" s="31" t="s">
        <v>410</v>
      </c>
    </row>
    <row r="152" spans="1:2" x14ac:dyDescent="0.2">
      <c r="A152" t="s">
        <v>411</v>
      </c>
    </row>
    <row r="156" spans="1:2" ht="24" x14ac:dyDescent="0.2">
      <c r="A156" s="25"/>
    </row>
    <row r="158" spans="1:2" ht="16" x14ac:dyDescent="0.2">
      <c r="A158" s="32"/>
    </row>
    <row r="162" spans="1:1" ht="24" x14ac:dyDescent="0.2">
      <c r="A162" s="25"/>
    </row>
    <row r="163" spans="1:1" x14ac:dyDescent="0.2">
      <c r="A163" s="2"/>
    </row>
    <row r="164" spans="1:1" x14ac:dyDescent="0.2">
      <c r="A164" s="28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zoomScale="152" workbookViewId="0">
      <selection activeCell="B7" sqref="B7"/>
    </sheetView>
  </sheetViews>
  <sheetFormatPr baseColWidth="10" defaultColWidth="8.6640625" defaultRowHeight="15" x14ac:dyDescent="0.2"/>
  <cols>
    <col min="1" max="1" width="33.83203125" bestFit="1" customWidth="1"/>
  </cols>
  <sheetData>
    <row r="1" spans="1:3" x14ac:dyDescent="0.2">
      <c r="A1" s="23" t="s">
        <v>23</v>
      </c>
      <c r="B1" s="23" t="s">
        <v>38</v>
      </c>
      <c r="C1" s="23"/>
    </row>
    <row r="2" spans="1:3" x14ac:dyDescent="0.2">
      <c r="A2" s="23" t="s">
        <v>5</v>
      </c>
      <c r="B2" s="24">
        <f>'Risk Weights'!$H$2*Interdependency!B33 + 'Risk Weights'!$H$3*Interdependency!C33 + 'Risk Weights'!$H$4*Interdependency!D33 + 'Risk Weights'!$H$5*Interdependency!E33</f>
        <v>0.66650285444234403</v>
      </c>
      <c r="C2" s="23">
        <v>5</v>
      </c>
    </row>
    <row r="3" spans="1:3" x14ac:dyDescent="0.2">
      <c r="A3" s="23" t="s">
        <v>6</v>
      </c>
      <c r="B3" s="24">
        <f>'Risk Weights'!$H$2*Interdependency!B34 + 'Risk Weights'!$H$3*Interdependency!C34 + 'Risk Weights'!$H$4*Interdependency!D34 + 'Risk Weights'!$H$5*Interdependency!E34</f>
        <v>0.74712786389413988</v>
      </c>
      <c r="C3" s="23">
        <v>2</v>
      </c>
    </row>
    <row r="4" spans="1:3" x14ac:dyDescent="0.2">
      <c r="A4" s="23" t="s">
        <v>7</v>
      </c>
      <c r="B4" s="24">
        <f>'Risk Weights'!$H$2*Interdependency!B35 + 'Risk Weights'!$H$3*Interdependency!C35 + 'Risk Weights'!$H$4*Interdependency!D35 + 'Risk Weights'!$H$5*Interdependency!E35</f>
        <v>0.37625759357277877</v>
      </c>
      <c r="C4" s="23"/>
    </row>
    <row r="5" spans="1:3" x14ac:dyDescent="0.2">
      <c r="A5" s="23" t="s">
        <v>8</v>
      </c>
      <c r="B5" s="24">
        <f>'Risk Weights'!$H$2*Interdependency!B36 + 'Risk Weights'!$H$3*Interdependency!C36 + 'Risk Weights'!$H$4*Interdependency!D36 + 'Risk Weights'!$H$5*Interdependency!E36</f>
        <v>0.74794342155009441</v>
      </c>
      <c r="C5" s="23">
        <v>3</v>
      </c>
    </row>
    <row r="6" spans="1:3" x14ac:dyDescent="0.2">
      <c r="A6" s="23" t="s">
        <v>9</v>
      </c>
      <c r="B6" s="24">
        <f>'Risk Weights'!$H$2*Interdependency!B37 + 'Risk Weights'!$H$3*Interdependency!C37 + 'Risk Weights'!$H$4*Interdependency!D37 + 'Risk Weights'!$H$5*Interdependency!E37</f>
        <v>0.57240546313799623</v>
      </c>
      <c r="C6" s="23"/>
    </row>
    <row r="7" spans="1:3" x14ac:dyDescent="0.2">
      <c r="A7" s="23" t="s">
        <v>10</v>
      </c>
      <c r="B7" s="24">
        <f>'Risk Weights'!$H$2*Interdependency!B38 + 'Risk Weights'!$H$3*Interdependency!C38 + 'Risk Weights'!$H$4*Interdependency!D38 + 'Risk Weights'!$H$5*Interdependency!E38</f>
        <v>0.83049765595463121</v>
      </c>
      <c r="C7" s="23">
        <v>1</v>
      </c>
    </row>
    <row r="8" spans="1:3" x14ac:dyDescent="0.2">
      <c r="A8" s="23" t="s">
        <v>11</v>
      </c>
      <c r="B8" s="24">
        <f>'Risk Weights'!$H$2*Interdependency!B39 + 'Risk Weights'!$H$3*Interdependency!C39 + 'Risk Weights'!$H$4*Interdependency!D39 + 'Risk Weights'!$H$5*Interdependency!E39</f>
        <v>0.53953903591682406</v>
      </c>
      <c r="C8" s="23"/>
    </row>
    <row r="9" spans="1:3" x14ac:dyDescent="0.2">
      <c r="A9" s="23" t="s">
        <v>12</v>
      </c>
      <c r="B9" s="24">
        <f>'Risk Weights'!$H$2*Interdependency!B40 + 'Risk Weights'!$H$3*Interdependency!C40 + 'Risk Weights'!$H$4*Interdependency!D40 + 'Risk Weights'!$H$5*Interdependency!E40</f>
        <v>0.61260691871455564</v>
      </c>
      <c r="C9" s="23"/>
    </row>
    <row r="10" spans="1:3" x14ac:dyDescent="0.2">
      <c r="A10" s="23" t="s">
        <v>13</v>
      </c>
      <c r="B10" s="24">
        <f>'Risk Weights'!$H$2*Interdependency!B41 + 'Risk Weights'!$H$3*Interdependency!C41 + 'Risk Weights'!$H$4*Interdependency!D41 + 'Risk Weights'!$H$5*Interdependency!E41</f>
        <v>0.57405170132325145</v>
      </c>
      <c r="C10" s="23"/>
    </row>
    <row r="11" spans="1:3" x14ac:dyDescent="0.2">
      <c r="A11" s="23" t="s">
        <v>14</v>
      </c>
      <c r="B11" s="24">
        <f>'Risk Weights'!$H$2*Interdependency!B42 + 'Risk Weights'!$H$3*Interdependency!C42 + 'Risk Weights'!$H$4*Interdependency!D42 + 'Risk Weights'!$H$5*Interdependency!E42</f>
        <v>0.71108824196597342</v>
      </c>
      <c r="C11" s="2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Weights</vt:lpstr>
      <vt:lpstr>Topic Effectiveness</vt:lpstr>
      <vt:lpstr>Interdependency</vt:lpstr>
      <vt:lpstr>Global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CHAMAS</cp:lastModifiedBy>
  <dcterms:created xsi:type="dcterms:W3CDTF">2026-01-01T09:06:27Z</dcterms:created>
  <dcterms:modified xsi:type="dcterms:W3CDTF">2026-04-10T23:06:25Z</dcterms:modified>
</cp:coreProperties>
</file>